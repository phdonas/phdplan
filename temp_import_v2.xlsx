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1b23aea15517f90/0 Paulo/1 ATUAL/0 UDEMY GROWTH/"/>
    </mc:Choice>
  </mc:AlternateContent>
  <xr:revisionPtr revIDLastSave="310" documentId="8_{E107B383-9FC7-4E18-AF57-34198293BCCC}" xr6:coauthVersionLast="47" xr6:coauthVersionMax="47" xr10:uidLastSave="{2B5074CF-5207-40FE-A1D5-8F06BDE02196}"/>
  <bookViews>
    <workbookView xWindow="-110" yWindow="-110" windowWidth="19420" windowHeight="11500" xr2:uid="{00000000-000D-0000-FFFF-FFFF00000000}"/>
  </bookViews>
  <sheets>
    <sheet name="Plano Diário" sheetId="1" r:id="rId1"/>
    <sheet name="Filtro" sheetId="6" r:id="rId2"/>
    <sheet name="Temas Semanais" sheetId="2" r:id="rId3"/>
    <sheet name="Regras Operacionais" sheetId="3" r:id="rId4"/>
    <sheet name="Listas" sheetId="4" r:id="rId5"/>
    <sheet name="DASH" sheetId="5" r:id="rId6"/>
  </sheets>
  <definedNames>
    <definedName name="_xlnm._FilterDatabase" localSheetId="0" hidden="1">'Plano Diário'!$A$1:$Q$247</definedName>
    <definedName name="_xlnm._FilterDatabase" localSheetId="2" hidden="1">'Temas Semanais'!$A$1:$G$14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1" l="1"/>
  <c r="A7" i="6" l="1" a="1"/>
  <c r="A7" i="6" s="1"/>
  <c r="L10" i="5" l="1"/>
  <c r="K10" i="5"/>
  <c r="L9" i="5"/>
  <c r="K9" i="5"/>
  <c r="L8" i="5"/>
  <c r="K8" i="5"/>
  <c r="C10" i="5"/>
  <c r="C9" i="5"/>
  <c r="C8" i="5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C5" i="5"/>
  <c r="C6" i="5"/>
  <c r="C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<sst xmlns="http://schemas.openxmlformats.org/spreadsheetml/2006/main" count="3785" uniqueCount="391">
  <si>
    <t>Data</t>
  </si>
  <si>
    <t>Dia da semana</t>
  </si>
  <si>
    <t>Semana</t>
  </si>
  <si>
    <t>Tipo de dia</t>
  </si>
  <si>
    <t>Tema macro</t>
  </si>
  <si>
    <t>Ângulo/Trilha</t>
  </si>
  <si>
    <t>Categoria</t>
  </si>
  <si>
    <t>Canal/Área</t>
  </si>
  <si>
    <t>O que</t>
  </si>
  <si>
    <t>Como</t>
  </si>
  <si>
    <t>Onde</t>
  </si>
  <si>
    <t>CTA</t>
  </si>
  <si>
    <t>Descrição da ação</t>
  </si>
  <si>
    <t>Duração (min)</t>
  </si>
  <si>
    <t>Prioridade</t>
  </si>
  <si>
    <t>KPI/Meta</t>
  </si>
  <si>
    <t>Status</t>
  </si>
  <si>
    <t>quinta-feira</t>
  </si>
  <si>
    <t>Semana Setup</t>
  </si>
  <si>
    <t>Terça–Sexta – Operação &amp; Growth</t>
  </si>
  <si>
    <t>Setup inicial (HUB, cupons, padrões)</t>
  </si>
  <si>
    <t>Gestão Comercial</t>
  </si>
  <si>
    <t>Setup</t>
  </si>
  <si>
    <t>WordPress</t>
  </si>
  <si>
    <t>Criar página HUB /trilhas (estrutura base)</t>
  </si>
  <si>
    <t>Páginas &gt; Adicionar nova &gt; slug 'trilhas'. Inserir seções: Por onde começar, Trilhas, Cursos, FAQ.</t>
  </si>
  <si>
    <t>CTA: /trilhas</t>
  </si>
  <si>
    <t>Publicar versão 1 (pode melhorar depois).</t>
  </si>
  <si>
    <t>Alta</t>
  </si>
  <si>
    <t>HUB no ar</t>
  </si>
  <si>
    <t>A fazer</t>
  </si>
  <si>
    <t>Instalar plugin Redirection e criar /go/* (links curtos)</t>
  </si>
  <si>
    <t>Plugins &gt; Adicionar &gt; Redirection. Criar redirecionamentos /go/dre, /go/fc, /go/jbp, /go/escuta, etc.</t>
  </si>
  <si>
    <t>WordPress/Redirection</t>
  </si>
  <si>
    <t>Permite trocar cupons sem editar a página HUB.</t>
  </si>
  <si>
    <t>Links /go ativos</t>
  </si>
  <si>
    <t>sexta-feira</t>
  </si>
  <si>
    <t>Métricas</t>
  </si>
  <si>
    <t>Instalar GA4 via Site Kit + configurar Search Console</t>
  </si>
  <si>
    <t>Instalar plugin Site Kit by Google, conectar Analytics e Search Console. Validar pageview em /trilhas.</t>
  </si>
  <si>
    <t>WordPress + Google</t>
  </si>
  <si>
    <t>Sem CTA</t>
  </si>
  <si>
    <t>Medição mínima pronta.</t>
  </si>
  <si>
    <t>GA4 coletando</t>
  </si>
  <si>
    <t>Udemy</t>
  </si>
  <si>
    <t>Criar cupons BASE (30 dias) para todos os cursos + registrar nomes</t>
  </si>
  <si>
    <t>Criar cupons base: DRE, FC, JBP, Escuta, Negociação, Varejo, JBP Gestores, Precificação, Custo Entrega.</t>
  </si>
  <si>
    <t>Udemy Instructor</t>
  </si>
  <si>
    <t>Defina ticket base (ex.: R$149–R$199) e nomenclatura por canal.</t>
  </si>
  <si>
    <t>Cupons base ativos</t>
  </si>
  <si>
    <t>sábado</t>
  </si>
  <si>
    <t>Semana 2 (05/01–10/01)</t>
  </si>
  <si>
    <t>Sábado – Planejamento (próxima semana)</t>
  </si>
  <si>
    <t>Seu DRE é um dedo-duro: o que ele revela em 15 min</t>
  </si>
  <si>
    <t>Financeiro</t>
  </si>
  <si>
    <t>Padronizar Bonus Lecture (modelo) nos cursos já publicados</t>
  </si>
  <si>
    <t>Inserir a última aula com próximos passos por trilha + links permitidos (cupons/referral).</t>
  </si>
  <si>
    <t>CTA: links na Bonus Lecture</t>
  </si>
  <si>
    <t>Aumenta cross-sell e vendas em todos os cursos.</t>
  </si>
  <si>
    <t>Bonus Lecture padrão</t>
  </si>
  <si>
    <t>Transversal (planejar 3 ângulos)</t>
  </si>
  <si>
    <t>Planejamento</t>
  </si>
  <si>
    <t>Editorial</t>
  </si>
  <si>
    <t>Definir tema macro + 3 ângulos (trilhas) + CTA da semana</t>
  </si>
  <si>
    <t>Escolher 1 tema macro e escrever 3 ângulos: Financeiro, Negociação/Vendas, Gestão Comercial. Definir CTA.</t>
  </si>
  <si>
    <t>Documento/Notion/Excel</t>
  </si>
  <si>
    <t>CTA: /trilhas (botão DRE) + /go/dre</t>
  </si>
  <si>
    <t>Tema da próxima semana: Seu DRE é um dedo-duro: o que ele revela em 15 min.</t>
  </si>
  <si>
    <t>Tema fechado</t>
  </si>
  <si>
    <t>Roteiro</t>
  </si>
  <si>
    <t>Esboçar vídeo YouTube + cortes + posts</t>
  </si>
  <si>
    <t>Criar: título do vídeo, 3 bullets, exemplo prático, checklist final. Definir 2 hooks de posts LI e páginas do carrossel.</t>
  </si>
  <si>
    <t>GPT/Claude + rascunho</t>
  </si>
  <si>
    <t>Sai do sábado com o pacote pronto para produzir na segunda.</t>
  </si>
  <si>
    <t>Roteiro pronto</t>
  </si>
  <si>
    <t>Cupons</t>
  </si>
  <si>
    <t>Planejar cupons (base/campanha) e tarefas Udemy da semana</t>
  </si>
  <si>
    <t>Se semana de campanha, preparar cupom campanha e texto do e-mail promocional. Se não, garantir base ativa.</t>
  </si>
  <si>
    <t>Udemy Instructor (rascunho)</t>
  </si>
  <si>
    <t>Evita pressa na segunda. Se necessário, rascunhe e-mail promocional.</t>
  </si>
  <si>
    <t>Média</t>
  </si>
  <si>
    <t>Cupons planejados</t>
  </si>
  <si>
    <t>05/01/2026</t>
  </si>
  <si>
    <t>segunda-feira</t>
  </si>
  <si>
    <t>Segunda – Produção &amp; Programação</t>
  </si>
  <si>
    <t>Transversal (3 ângulos)</t>
  </si>
  <si>
    <t>Conteúdo</t>
  </si>
  <si>
    <t>YouTube</t>
  </si>
  <si>
    <t>Vídeo longo (8–12 min) – roteiro+gravação+upload rascunho</t>
  </si>
  <si>
    <t>Use GPT/Claude para roteiro; grave em lote; faça uma tomada principal; suba como rascunho no YouTube e programe.</t>
  </si>
  <si>
    <t>YouTube Studio + Filmora</t>
  </si>
  <si>
    <t>CTA na descrição e comentário fixado → phdonassolo.com/trilhas</t>
  </si>
  <si>
    <t>Tema macro: Seu DRE é um dedo-duro: o que ele revela em 15 min. Objetivo: gerar autoridade e cliques para o HUB. Inclua 1 exemplo prático + checklist.</t>
  </si>
  <si>
    <t>Visualizações + cliques em /trilhas</t>
  </si>
  <si>
    <t>YouTube Shorts/Reels</t>
  </si>
  <si>
    <t>2 cortes (30–60s) do vídeo – editar e agendar</t>
  </si>
  <si>
    <t>Corte 2 trechos (gancho + dica). Legenda curta. Programe 1 para terça e 1 para quinta.</t>
  </si>
  <si>
    <t>YouTube Shorts + IG Reels</t>
  </si>
  <si>
    <t>CTA: /trilhas + curso foco da semana</t>
  </si>
  <si>
    <t>Reaproveitar o vídeo longo. Gancho forte nos 2 primeiros segundos.</t>
  </si>
  <si>
    <t>Retenção e cliques</t>
  </si>
  <si>
    <t>LinkedIn</t>
  </si>
  <si>
    <t>2 posts texto (ter e sex) – escrever e agendar</t>
  </si>
  <si>
    <t>Modelo: dor → mini-framework → exemplo → CTA. Varie: 1 mais técnico, 1 mais narrativo.</t>
  </si>
  <si>
    <t>CTA: phdonassolo.com/trilhas (botão da trilha/curso foco)</t>
  </si>
  <si>
    <t>Use o tema macro e o ângulo das trilhas no texto. Inclua 1 pergunta no final.</t>
  </si>
  <si>
    <t>Alcance + comentários</t>
  </si>
  <si>
    <t>LinkedIn/IG/FB</t>
  </si>
  <si>
    <t>1 carrossel (qui) – criar + adaptar para IG/FB e agendar</t>
  </si>
  <si>
    <t>Estrutura 7–9 páginas: gancho, 3 erros, 3 correções, checklist, CTA. Criar no Canva.</t>
  </si>
  <si>
    <t>Canva + LinkedIn + Meta Business Suite</t>
  </si>
  <si>
    <t>CTA: /trilhas + curso foco</t>
  </si>
  <si>
    <t>Carrossel deve ser didático, com frases curtas e exemplo prático.</t>
  </si>
  <si>
    <t>Salvamentos + cliques</t>
  </si>
  <si>
    <t>Growth</t>
  </si>
  <si>
    <t>HUB/Links</t>
  </si>
  <si>
    <t>Checklist de links e CTAs da semana (sem troca de cupom)</t>
  </si>
  <si>
    <t>Teste botões do /trilhas e redirecionamentos /go. Ajuste se necessário.</t>
  </si>
  <si>
    <t>Evita perda de venda por link quebrado; ajuste rápido.</t>
  </si>
  <si>
    <t>0 links quebrados</t>
  </si>
  <si>
    <t>terça-feira</t>
  </si>
  <si>
    <t>Operação</t>
  </si>
  <si>
    <t>Rotina Q&amp;A e avaliações (SLA 24h)</t>
  </si>
  <si>
    <t>Responder perguntas, agradecer feedback, sinalizar melhorias. Registrar pontos recorrentes.</t>
  </si>
  <si>
    <t>Sem CTA (suporte)</t>
  </si>
  <si>
    <t>Manter satisfação e nota. Separe dúvidas por curso para futuras melhorias.</t>
  </si>
  <si>
    <t>Tempo de resposta &lt;24h</t>
  </si>
  <si>
    <t>Anúncio educacional (1/semana) – mini-aula + tarefa</t>
  </si>
  <si>
    <t>Enviar 1 anúncio educacional para o curso mais alinhado ao tema da semana. Sem links para outros cursos.</t>
  </si>
  <si>
    <t>CTA interno: 'aplique a tarefa' (sem venda)</t>
  </si>
  <si>
    <t>Conteúdo educacional sobre: Seu DRE é um dedo-duro: o que ele revela em 15 min. Inclua exercício de 10–15 min.</t>
  </si>
  <si>
    <t>Engajamento / conclusão</t>
  </si>
  <si>
    <t>Social</t>
  </si>
  <si>
    <t>Engajamento 20-min: comentar em 10 posts de decisores</t>
  </si>
  <si>
    <t>Comente com valor (exemplo, pergunta, complemento). 0 autopromoção direta.</t>
  </si>
  <si>
    <t>CTA indireto: perfil + /trilhas no destaque</t>
  </si>
  <si>
    <t>Objetivo: alcance orgânico e novas conexões qualificadas.</t>
  </si>
  <si>
    <t>Novas conexões/semana</t>
  </si>
  <si>
    <t>quarta-feira</t>
  </si>
  <si>
    <t>Registrar KPIs parciais da semana + leitura rápida</t>
  </si>
  <si>
    <t>Coletar: matrículas por curso, ticket efetivo por cupom, reviews, cliques em /trilhas (GA4).</t>
  </si>
  <si>
    <t>Udemy + GA4</t>
  </si>
  <si>
    <t>Atualize painel semanal e identifique 1 ajuste para amanhã.</t>
  </si>
  <si>
    <t>KPIs atualizados</t>
  </si>
  <si>
    <t>Gestão de cupons (base/campanha/recuperação)</t>
  </si>
  <si>
    <t>Verificar validade de cupons. Se campanha ativa, revisar performance e ajustar comunicação.</t>
  </si>
  <si>
    <t>Garanta que cupons base estejam ativos para todos os cursos.</t>
  </si>
  <si>
    <t>Cupons OK</t>
  </si>
  <si>
    <t>Responder comentários e DMs (30–45 min)</t>
  </si>
  <si>
    <t>Responder comentários de LI/YT; agradecer; puxar conversa; salvar insights de objeções reais.</t>
  </si>
  <si>
    <t>LinkedIn + YouTube</t>
  </si>
  <si>
    <t>CTA suave: /trilhas se perguntarem</t>
  </si>
  <si>
    <t>Objetivo: aumentar alcance e relevância; coletar linguagem do público.</t>
  </si>
  <si>
    <t>Respostas no mesmo dia</t>
  </si>
  <si>
    <t>Melhoria incremental (15–30 min)</t>
  </si>
  <si>
    <t>Ajuste pequeno no curso foco: aula-isca, descrição de um recurso, correção de erro, material extra.</t>
  </si>
  <si>
    <t>Melhorias contínuas ajudam reviews e conversão.</t>
  </si>
  <si>
    <t>1 melhoria/semana</t>
  </si>
  <si>
    <t>Análise</t>
  </si>
  <si>
    <t>Revisão semanal: o que funcionou, o que ajustar</t>
  </si>
  <si>
    <t>Revisar KPIs, identificar top conteúdo e top cupom. Definir 1 melhoria para próxima semana.</t>
  </si>
  <si>
    <t>Udemy + GA4 + LinkedIn/YouTube analytics</t>
  </si>
  <si>
    <t>Documente 3 aprendizados e 1 decisão (dobrar, cortar, ajustar).</t>
  </si>
  <si>
    <t>Aprendizados registrados</t>
  </si>
  <si>
    <t>HUB</t>
  </si>
  <si>
    <t>Auditoria rápida do /trilhas (UX)</t>
  </si>
  <si>
    <t>Verificar ordem dos botões, clareza de trilhas e links. Ajustar texto se necessário.</t>
  </si>
  <si>
    <t>Pequenos ajustes aumentam conversão.</t>
  </si>
  <si>
    <t>Tempo na página / cliques</t>
  </si>
  <si>
    <t>Semana 3 (12/01–17/01)</t>
  </si>
  <si>
    <t>Negociação sem improviso: valor antes do preço</t>
  </si>
  <si>
    <t>CTA: /trilhas (botão Negociação) + /go/negociacao</t>
  </si>
  <si>
    <t>Tema da próxima semana: Negociação sem improviso: valor antes do preço.</t>
  </si>
  <si>
    <t>12/01/2026</t>
  </si>
  <si>
    <t>Tema macro: Negociação sem improviso: valor antes do preço. Objetivo: gerar autoridade e cliques para o HUB. Inclua 1 exemplo prático + checklist.</t>
  </si>
  <si>
    <t>Cupons/HUB</t>
  </si>
  <si>
    <t>Ativar cupom de CAMPANHA (7 dias) e atualizar links /go/*</t>
  </si>
  <si>
    <t>Crie cupom campanha na Udemy (7 dias) para o(s) curso(s) foco. Atualize targets no Redirection.</t>
  </si>
  <si>
    <t>Udemy Instructor + WordPress/Redirection</t>
  </si>
  <si>
    <t>CTA em todos os conteúdos → /trilhas</t>
  </si>
  <si>
    <t>Campanha ativa esta semana. Garanta que todos os CTAs usem cupom correto via /go/.</t>
  </si>
  <si>
    <t>Matrículas por cupom</t>
  </si>
  <si>
    <t>Conteúdo educacional sobre: Negociação sem improviso: valor antes do preço. Inclua exercício de 10–15 min.</t>
  </si>
  <si>
    <t>E-mail promocional (campanha) – 1 envio na janela de 7 dias</t>
  </si>
  <si>
    <t>Enviar promocional do curso foco com cupom campanha. Texto curto: para quem, ganhos, prazo, link.</t>
  </si>
  <si>
    <t>CTA com cupom (permitido)</t>
  </si>
  <si>
    <t>Respeitar limite mensal (2 por curso).</t>
  </si>
  <si>
    <t>Matrículas após envio</t>
  </si>
  <si>
    <t>Campanha</t>
  </si>
  <si>
    <t>Última chamada + cupom de recuperação (48h)</t>
  </si>
  <si>
    <t>Gerar cupom RECUPERAÇÃO 48h (se necessário). Post curto LI + comentário fixado no vídeo.</t>
  </si>
  <si>
    <t>Udemy + LinkedIn + YouTube</t>
  </si>
  <si>
    <t>CTA: /trilhas + cupom recuperação</t>
  </si>
  <si>
    <t>Criar urgência sem agressividade. Encerre domingo (mas domingo não trabalha).</t>
  </si>
  <si>
    <t>Pico final de matrículas</t>
  </si>
  <si>
    <t>Semana 4 (19/01–24/01)</t>
  </si>
  <si>
    <t>Gestão de loja para PMEs: giro, margem e rotina</t>
  </si>
  <si>
    <t>CTA: /trilhas (botão Varejo) + /go/varejo</t>
  </si>
  <si>
    <t>Tema da próxima semana: Gestão de loja para PMEs: giro, margem e rotina.</t>
  </si>
  <si>
    <t>19/01/2026</t>
  </si>
  <si>
    <t>Tema macro: Gestão de loja para PMEs: giro, margem e rotina. Objetivo: gerar autoridade e cliques para o HUB. Inclua 1 exemplo prático + checklist.</t>
  </si>
  <si>
    <t>Conteúdo educacional sobre: Gestão de loja para PMEs: giro, margem e rotina. Inclua exercício de 10–15 min.</t>
  </si>
  <si>
    <t>Semana 5 (26/01–31/01)</t>
  </si>
  <si>
    <t>Execução comercial em 7 dias: pare de planejar e comece a rodar</t>
  </si>
  <si>
    <t>CTA: /trilhas (botão JBP) + /go/jbpgestores</t>
  </si>
  <si>
    <t>Tema da próxima semana: Execução comercial em 7 dias: pare de planejar e comece a rodar.</t>
  </si>
  <si>
    <t>26/01/2026</t>
  </si>
  <si>
    <t>Tema macro: Execução comercial em 7 dias: pare de planejar e comece a rodar. Objetivo: gerar autoridade e cliques para o HUB. Inclua 1 exemplo prático + checklist.</t>
  </si>
  <si>
    <t>Conteúdo educacional sobre: Execução comercial em 7 dias: pare de planejar e comece a rodar. Inclua exercício de 10–15 min.</t>
  </si>
  <si>
    <t>Semana 6 (02/02–07/02)</t>
  </si>
  <si>
    <t>Fluxo de caixa: previsibilidade em 15 minutos por semana</t>
  </si>
  <si>
    <t>CTA: /trilhas (botão Fluxo de Caixa) + /go/fc</t>
  </si>
  <si>
    <t>Tema da próxima semana: Fluxo de caixa: previsibilidade em 15 minutos por semana.</t>
  </si>
  <si>
    <t>02/02/2026</t>
  </si>
  <si>
    <t>Renovar cupons BASE do mês (30 dias) e atualizar /go/*</t>
  </si>
  <si>
    <t>Criar novos cupons BASE com validade 30 dias; atualizar links /go se você usa cupom no link base; registrar em painel.</t>
  </si>
  <si>
    <t>Udemy Instructor + WordPress</t>
  </si>
  <si>
    <t>Rotina mensal para manter ticket base e rastreamento por canal.</t>
  </si>
  <si>
    <t>Cupons base do mês ativos</t>
  </si>
  <si>
    <t>Tema macro: Fluxo de caixa: previsibilidade em 15 minutos por semana. Objetivo: gerar autoridade e cliques para o HUB. Inclua 1 exemplo prático + checklist.</t>
  </si>
  <si>
    <t>Negociação &amp; Vendas</t>
  </si>
  <si>
    <t>WhatsApp</t>
  </si>
  <si>
    <t>Criar Comunidade WhatsApp + 3 grupos (Finanças, Negociação, Gestão Comercial)</t>
  </si>
  <si>
    <t>Criar comunidade, definir regras e descrição, configurar grupos e mensagem de boas-vindas.</t>
  </si>
  <si>
    <t>CTA: convite na Bonus Lecture e /trilhas</t>
  </si>
  <si>
    <t>Estruturar comunidade para suporte leve e engajamento.</t>
  </si>
  <si>
    <t>Comunidade criada</t>
  </si>
  <si>
    <t>Conteúdo educacional sobre: Fluxo de caixa: previsibilidade em 15 minutos por semana. Inclua exercício de 10–15 min.</t>
  </si>
  <si>
    <t>Adicionar botão/CTA da Comunidade WhatsApp em /trilhas (a partir de fevereiro)</t>
  </si>
  <si>
    <t>Inserir bloco com convite: 'Comunidade gratuita' + regras. Linkar para convite do WhatsApp.</t>
  </si>
  <si>
    <t>CTA: entrar na comunidade</t>
  </si>
  <si>
    <t>CTA secundário (além da Udemy).</t>
  </si>
  <si>
    <t>Cliques no botão</t>
  </si>
  <si>
    <t>Atualizar Bonus Lecture dos cursos com convite para a Comunidade WhatsApp</t>
  </si>
  <si>
    <t>Adicionar trecho final: convite + o que receberão + regras. Manter links de cupons para trilhas.</t>
  </si>
  <si>
    <t>CTA: comunidade + /trilhas</t>
  </si>
  <si>
    <t>Aumenta retenção e prova social.</t>
  </si>
  <si>
    <t>Entradas na comunidade</t>
  </si>
  <si>
    <t>Semana 7 (09/02–14/02)</t>
  </si>
  <si>
    <t>Trilha Finanças do Gestor: do lucro ao caixa (sem enrolação)</t>
  </si>
  <si>
    <t>CTA: /trilhas (Trilha Finanças) + /go/dre</t>
  </si>
  <si>
    <t>Tema da próxima semana: Trilha Finanças do Gestor: do lucro ao caixa (sem enrolação).</t>
  </si>
  <si>
    <t>09/02/2026</t>
  </si>
  <si>
    <t>Tema macro: Trilha Finanças do Gestor: do lucro ao caixa (sem enrolação). Objetivo: gerar autoridade e cliques para o HUB. Inclua 1 exemplo prático + checklist.</t>
  </si>
  <si>
    <t>Conteúdo educacional sobre: Trilha Finanças do Gestor: do lucro ao caixa (sem enrolação). Inclua exercício de 10–15 min.</t>
  </si>
  <si>
    <t>Semana 8 (16/02–21/02)</t>
  </si>
  <si>
    <t>Objeções: investigue antes de responder (e venda melhor)</t>
  </si>
  <si>
    <t>CTA: /trilhas (botão Escuta) + /go/escuta</t>
  </si>
  <si>
    <t>Tema da próxima semana: Objeções: investigue antes de responder (e venda melhor).</t>
  </si>
  <si>
    <t>16/02/2026</t>
  </si>
  <si>
    <t>Tema macro: Objeções: investigue antes de responder (e venda melhor). Objetivo: gerar autoridade e cliques para o HUB. Inclua 1 exemplo prático + checklist.</t>
  </si>
  <si>
    <t>Conteúdo educacional sobre: Objeções: investigue antes de responder (e venda melhor). Inclua exercício de 10–15 min.</t>
  </si>
  <si>
    <t>Semana 9 (23/02–28/02)</t>
  </si>
  <si>
    <t>Trilha Negociação: método, prática e resultados em vendas</t>
  </si>
  <si>
    <t>CTA: /trilhas (Trilha Negociação) + /go/negociacao</t>
  </si>
  <si>
    <t>Tema da próxima semana: Trilha Negociação: método, prática e resultados em vendas.</t>
  </si>
  <si>
    <t>23/02/2026</t>
  </si>
  <si>
    <t>Tema macro: Trilha Negociação: método, prática e resultados em vendas. Objetivo: gerar autoridade e cliques para o HUB. Inclua 1 exemplo prático + checklist.</t>
  </si>
  <si>
    <t>Conteúdo educacional sobre: Trilha Negociação: método, prática e resultados em vendas. Inclua exercício de 10–15 min.</t>
  </si>
  <si>
    <t>Semana 10 (02/03–07/03)</t>
  </si>
  <si>
    <t>Gestão comercial na prática: metas, indicadores e cadência</t>
  </si>
  <si>
    <t>CTA: /trilhas (botão JBP) + /go/jbp</t>
  </si>
  <si>
    <t>Tema da próxima semana: Gestão comercial na prática: metas, indicadores e cadência.</t>
  </si>
  <si>
    <t>02/03/2026</t>
  </si>
  <si>
    <t>Tema macro: Gestão comercial na prática: metas, indicadores e cadência. Objetivo: gerar autoridade e cliques para o HUB. Inclua 1 exemplo prático + checklist.</t>
  </si>
  <si>
    <t>Conteúdo educacional sobre: Gestão comercial na prática: metas, indicadores e cadência. Inclua exercício de 10–15 min.</t>
  </si>
  <si>
    <t>Semana 11 (09/03–14/03)</t>
  </si>
  <si>
    <t>Trilha do Gestor: DRE + Caixa + Varejo (combo que resolve)</t>
  </si>
  <si>
    <t>CTA: /trilhas (Trilha Finanças + Varejo) + /go/dre</t>
  </si>
  <si>
    <t>Tema da próxima semana: Trilha do Gestor: DRE + Caixa + Varejo (combo que resolve).</t>
  </si>
  <si>
    <t>09/03/2026</t>
  </si>
  <si>
    <t>Tema macro: Trilha do Gestor: DRE + Caixa + Varejo (combo que resolve). Objetivo: gerar autoridade e cliques para o HUB. Inclua 1 exemplo prático + checklist.</t>
  </si>
  <si>
    <t>Conteúdo educacional sobre: Trilha do Gestor: DRE + Caixa + Varejo (combo que resolve). Inclua exercício de 10–15 min.</t>
  </si>
  <si>
    <t>Semana 12 (16/03–21/03)</t>
  </si>
  <si>
    <t>Precificação e markup sem matemática chata (PME)</t>
  </si>
  <si>
    <t>CTA: /trilhas (curso Precificação) + /go/precificacao</t>
  </si>
  <si>
    <t>Tema da próxima semana: Precificação e markup sem matemática chata (PME).</t>
  </si>
  <si>
    <t>16/03/2026</t>
  </si>
  <si>
    <t>Tema macro: Precificação e markup sem matemática chata (PME). Objetivo: gerar autoridade e cliques para o HUB. Inclua 1 exemplo prático + checklist.</t>
  </si>
  <si>
    <t>Conteúdo educacional sobre: Precificação e markup sem matemática chata (PME). Inclua exercício de 10–15 min.</t>
  </si>
  <si>
    <t>Semana 13 (23/03–28/03)</t>
  </si>
  <si>
    <t>Taxa de entrega: custo real e como cobrar sem perder venda</t>
  </si>
  <si>
    <t>CTA: /trilhas (curso Custos de Entrega) + /go/custo-entrega</t>
  </si>
  <si>
    <t>Tema da próxima semana: Taxa de entrega: custo real e como cobrar sem perder venda.</t>
  </si>
  <si>
    <t>23/03/2026</t>
  </si>
  <si>
    <t>Tema macro: Taxa de entrega: custo real e como cobrar sem perder venda. Objetivo: gerar autoridade e cliques para o HUB. Inclua 1 exemplo prático + checklist.</t>
  </si>
  <si>
    <t>Conteúdo educacional sobre: Taxa de entrega: custo real e como cobrar sem perder venda. Inclua exercício de 10–15 min.</t>
  </si>
  <si>
    <t>Semana 14 (30/03–04/04)</t>
  </si>
  <si>
    <t>Checklist trimestral do gestor: revisão + plano do próximo trimestre</t>
  </si>
  <si>
    <t>CTA: /trilhas (todas as trilhas) + /trilhas</t>
  </si>
  <si>
    <t>Tema da próxima semana: Checklist trimestral do gestor: revisão + plano do próximo trimestre.</t>
  </si>
  <si>
    <t>30/03/2026</t>
  </si>
  <si>
    <t>Tema macro: Checklist trimestral do gestor: revisão + plano do próximo trimestre. Objetivo: gerar autoridade e cliques para o HUB. Inclua 1 exemplo prático + checklist.</t>
  </si>
  <si>
    <t>Conteúdo educacional sobre: Checklist trimestral do gestor: revisão + plano do próximo trimestre. Inclua exercício de 10–15 min.</t>
  </si>
  <si>
    <t>Semana (início)</t>
  </si>
  <si>
    <t>Campanha?</t>
  </si>
  <si>
    <t>CTA foco</t>
  </si>
  <si>
    <t>Ângulo Financeiro</t>
  </si>
  <si>
    <t>Ângulo Negociação/Vendas</t>
  </si>
  <si>
    <t>Ângulo Gestão Comercial</t>
  </si>
  <si>
    <t>Não</t>
  </si>
  <si>
    <t>/trilhas (botão DRE) + /go/dre</t>
  </si>
  <si>
    <t>Financeiro: 3 sinais no DRE que indicam onde mexer</t>
  </si>
  <si>
    <t>Negociação/Vendas: como DRE e margem mudam sua conversa de preço</t>
  </si>
  <si>
    <t>Gestão Comercial: KPI de DRE que orienta meta e comissão</t>
  </si>
  <si>
    <t>Sim</t>
  </si>
  <si>
    <t>/trilhas (botão Negociação) + /go/negociacao</t>
  </si>
  <si>
    <t>Financeiro: concessões viram custo (como medir)</t>
  </si>
  <si>
    <t>Negociação/Vendas: 5 perguntas para subir valor percebido</t>
  </si>
  <si>
    <t>Gestão Comercial: ritual de preparação para negociar (time)</t>
  </si>
  <si>
    <t>/trilhas (botão Varejo) + /go/varejo</t>
  </si>
  <si>
    <t>Financeiro: giro x margem (impacto no caixa)</t>
  </si>
  <si>
    <t>Negociação/Vendas: abordagem no balcão e upsell sem pressão</t>
  </si>
  <si>
    <t>Gestão Comercial: rotina diária/semana de loja que dá resultado</t>
  </si>
  <si>
    <t>/trilhas (botão JBP) + /go/jbpgestores</t>
  </si>
  <si>
    <t>Financeiro: metas que cabem no caixa (ex.: entradas/saídas)</t>
  </si>
  <si>
    <t>Negociação/Vendas: cadência de follow-up que aumenta conversão</t>
  </si>
  <si>
    <t>Gestão Comercial: 7 dias de rituais (pipeline, visitas, revisão)</t>
  </si>
  <si>
    <t>/trilhas (botão Fluxo de Caixa) + /go/fc</t>
  </si>
  <si>
    <t>Financeiro: previsão vs realizado (3 ajustes)</t>
  </si>
  <si>
    <t>Negociação/Vendas: prazo, forma de pagamento e condições (como negociar)</t>
  </si>
  <si>
    <t>Gestão Comercial: rotina de cobrança e follow-up com método</t>
  </si>
  <si>
    <t>/trilhas (Trilha Finanças) + /go/dre</t>
  </si>
  <si>
    <t>Financeiro: sequência DRE → Caixa (como aplicar)</t>
  </si>
  <si>
    <t>Negociação/Vendas: como preço e margem se sustentam no caixa</t>
  </si>
  <si>
    <t>Gestão Comercial: metas financeiras traduzidas em metas comerciais</t>
  </si>
  <si>
    <t>/trilhas (botão Escuta) + /go/escuta</t>
  </si>
  <si>
    <t>Financeiro: objeções por preço x objeções por risco (impacto em desconto)</t>
  </si>
  <si>
    <t>Negociação/Vendas: matriz rápida de objeções + perguntas</t>
  </si>
  <si>
    <t>Gestão Comercial: como treinar o time com roleplay e métricas</t>
  </si>
  <si>
    <t>/trilhas (Trilha Negociação) + /go/negociacao</t>
  </si>
  <si>
    <t>Financeiro: custo de desconto (quanto você perde)</t>
  </si>
  <si>
    <t>Negociação/Vendas: script de 7 passos para conduzir conversa</t>
  </si>
  <si>
    <t>Gestão Comercial: coaching de negociação (cadência semanal)</t>
  </si>
  <si>
    <t>/trilhas (botão JBP) + /go/jbp</t>
  </si>
  <si>
    <t>Financeiro: indicadores comerciais que protegem o caixa</t>
  </si>
  <si>
    <t>Negociação/Vendas: pipeline e conversão por etapa</t>
  </si>
  <si>
    <t>Gestão Comercial: reunião semanal de resultados (roteiro)</t>
  </si>
  <si>
    <t>/trilhas (Trilha Finanças + Varejo) + /go/dre</t>
  </si>
  <si>
    <t>Financeiro: modelo de leitura semanal (DRE/caixa)</t>
  </si>
  <si>
    <t>Negociação/Vendas: como defender preço com dados e valor</t>
  </si>
  <si>
    <t>Gestão Comercial: execução em loja e time (rotinas)</t>
  </si>
  <si>
    <t>/trilhas (curso Precificação) + /go/precificacao</t>
  </si>
  <si>
    <t>Financeiro: markup, margem e contribuição (o básico que decide)</t>
  </si>
  <si>
    <t>Negociação/Vendas: como apresentar preço sem pedir desculpas</t>
  </si>
  <si>
    <t>Gestão Comercial: política de desconto e alçadas</t>
  </si>
  <si>
    <t>/trilhas (curso Custos de Entrega) + /go/custo-entrega</t>
  </si>
  <si>
    <t>Financeiro: custo fixo/variável na entrega (modelo)</t>
  </si>
  <si>
    <t>Negociação/Vendas: como comunicar taxa e reduzir atrito</t>
  </si>
  <si>
    <t>Gestão Comercial: indicadores de logística que viram venda</t>
  </si>
  <si>
    <t>/trilhas (todas as trilhas) + /trilhas</t>
  </si>
  <si>
    <t>Financeiro: revisão de DRE/caixa do trimestre (passo a passo)</t>
  </si>
  <si>
    <t>Negociação/Vendas: revisão de conversão e objeções (lições)</t>
  </si>
  <si>
    <t>Gestão Comercial: plano de 90 dias (cadência e projetos)</t>
  </si>
  <si>
    <t>Regra operacional semanal (modelo)</t>
  </si>
  <si>
    <t>Como usar este calendário</t>
  </si>
  <si>
    <t>Você trabalha com 1 tema macro por semana e 3 ângulos (Financeiro, Negociação/Vendas, Gestão Comercial). A semana inteira aponta para 1 CTA principal: phdonassolo.com/trilhas.</t>
  </si>
  <si>
    <t>Segunda – Produção &amp; Programação: produzir o pacote completo da semana e deixar tudo agendado. (YouTube vídeo longo + 2 shorts, LinkedIn 2 posts + 1 carrossel, IG/FB reaproveitado). Checar links /go e CTAs. Se for semana de campanha, ativar cupom CAMPANHA (7 dias) e atualizar /go/*.</t>
  </si>
  <si>
    <t>Terça – Udemy &amp; Alcance: Q&amp;A + avaliações (SLA &lt;24h). Enviar 1 anúncio educacional (sem venda) no curso mais alinhado ao tema. 20 min de comentários estratégicos no LinkedIn.</t>
  </si>
  <si>
    <t>Quarta – Métricas &amp; Cupons: atualizar KPIs (Udemy, GA4, redes). Gestão de cupons (BASE/CAMPANHA/RECUPERAÇÃO). Se campanha ativa: 1 e-mail promocional no meio da janela (respeitar limites).</t>
  </si>
  <si>
    <t>Quinta – Relacionamento &amp; Qualidade: responder comentários/DMs (LI/YT). Fazer 1 melhoria incremental no curso foco (landing page, materiais, aula-isca).</t>
  </si>
  <si>
    <t>Sexta – Análise &amp; Ajustes: revisão semanal (o que funcionou e por quê). Ajustar HUB /trilhas e backlog. Se campanha: última chamada + cupom RECUPERAÇÃO 48h (sem trabalhar domingo).</t>
  </si>
  <si>
    <t>Sábado – Planejamento: fechar tema macro + 3 ângulos + CTA da próxima semana. Rascunhar roteiro do vídeo, hooks dos posts e estrutura do carrossel. Planejar cupons e tarefas Udemy da semana.</t>
  </si>
  <si>
    <t>Fazendo</t>
  </si>
  <si>
    <t>Feito</t>
  </si>
  <si>
    <t>Baixa</t>
  </si>
  <si>
    <t/>
  </si>
  <si>
    <t>Transversal</t>
  </si>
  <si>
    <t>Sabado</t>
  </si>
  <si>
    <t>Publicar os novos cursos, publicitar para os alunos e criar bundles.</t>
  </si>
  <si>
    <t>Gravação do Curso de Negociação</t>
  </si>
  <si>
    <t>Gravação do Curso JBP para Gestores</t>
  </si>
  <si>
    <t>Estrutura e conteúdo curso o essencial formação de preço</t>
  </si>
  <si>
    <t>Estrutura e conteúdo curso o essencial custo de entrega</t>
  </si>
  <si>
    <t>Revisar e incluir ferramenta Curso DRE: quem sabe prompt para IA analisar ou sugerir?  Enviar e-mail de atualização para os alunos e sugerir cupon para o curso de FC</t>
  </si>
  <si>
    <t>Revisar e incluir ferramenta Curso Fluxo de Caixa: quem sabe prompt para IA analisar ou sugerir? Enviar email para os alunos e sugerir cupom para DRE</t>
  </si>
  <si>
    <t>Oferecer cupons free para cross selling e recomendações para os cursos com pouca venda</t>
  </si>
  <si>
    <t>ver projeto growth no claude</t>
  </si>
  <si>
    <t>Em atraso</t>
  </si>
  <si>
    <t>diferente de feito e data &lt;= hoje</t>
  </si>
  <si>
    <t>diferente de feito e mês = mês atual</t>
  </si>
  <si>
    <t>diferente de feito e mês &gt; mês atual</t>
  </si>
  <si>
    <t>Próximos meses</t>
  </si>
  <si>
    <t>Concluir neste mês</t>
  </si>
  <si>
    <t>por prioridade</t>
  </si>
  <si>
    <t>Mês</t>
  </si>
  <si>
    <t>Linktree ver Instagram Cacau Corazza</t>
  </si>
  <si>
    <t>Criar o linktree para o site, LinkedIn, alguns cursos</t>
  </si>
  <si>
    <t>Instagram</t>
  </si>
  <si>
    <t>CTA conheça</t>
  </si>
  <si>
    <t>Linktree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</si>
</sst>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F4E79"/>
      <name val="Calibri"/>
      <family val="2"/>
    </font>
    <font>
      <b/>
      <sz val="11"/>
      <color rgb="FF1F4E79"/>
      <name val="Calibri"/>
      <family val="2"/>
    </font>
    <font>
      <sz val="10"/>
      <color theme="1"/>
      <name val="Abad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badi"/>
      <family val="2"/>
    </font>
    <font>
      <sz val="11"/>
      <color theme="1"/>
      <name val="Calibri"/>
      <family val="2"/>
      <scheme val="major"/>
    </font>
    <font>
      <sz val="12"/>
      <color theme="1"/>
      <name val="Abad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D9D9D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D9D9D9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4" fontId="0" fillId="0" borderId="0" xfId="0" applyNumberFormat="1"/>
    <xf numFmtId="0" fontId="1" fillId="2" borderId="5" xfId="0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/>
    <xf numFmtId="14" fontId="7" fillId="4" borderId="10" xfId="0" applyNumberFormat="1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3" borderId="2" xfId="0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b/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BAD-4E36-AF5D-03A16DEB96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4BAD-4E36-AF5D-03A16DEB96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BAD-4E36-AF5D-03A16DEB964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BAD-4E36-AF5D-03A16DEB964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BAD-4E36-AF5D-03A16DEB964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BAD-4E36-AF5D-03A16DEB964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DASH!$B$4:$B$6</c:f>
              <c:strCache>
                <c:ptCount val="3"/>
                <c:pt idx="0">
                  <c:v>A fazer</c:v>
                </c:pt>
                <c:pt idx="1">
                  <c:v>Fazendo</c:v>
                </c:pt>
                <c:pt idx="2">
                  <c:v>Feito</c:v>
                </c:pt>
              </c:strCache>
            </c:strRef>
          </c:cat>
          <c:val>
            <c:numRef>
              <c:f>DASH!$C$4:$C$6</c:f>
              <c:numCache>
                <c:formatCode>General</c:formatCode>
                <c:ptCount val="3"/>
                <c:pt idx="0">
                  <c:v>238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D-4E36-AF5D-03A16DEB964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9CC-43DE-B833-80B74CB7CF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F9CC-43DE-B833-80B74CB7CF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9CC-43DE-B833-80B74CB7CF2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9CC-43DE-B833-80B74CB7CF2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F9CC-43DE-B833-80B74CB7CF2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9CC-43DE-B833-80B74CB7CF2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DASH!$B$8:$B$10</c:f>
              <c:strCache>
                <c:ptCount val="3"/>
                <c:pt idx="0">
                  <c:v>Em atraso</c:v>
                </c:pt>
                <c:pt idx="1">
                  <c:v>Concluir neste mês</c:v>
                </c:pt>
                <c:pt idx="2">
                  <c:v>Próximos meses</c:v>
                </c:pt>
              </c:strCache>
            </c:strRef>
          </c:cat>
          <c:val>
            <c:numRef>
              <c:f>DASH!$C$8:$C$10</c:f>
              <c:numCache>
                <c:formatCode>General</c:formatCode>
                <c:ptCount val="3"/>
                <c:pt idx="0">
                  <c:v>63</c:v>
                </c:pt>
                <c:pt idx="1">
                  <c:v>84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C-43DE-B833-80B74CB7CF2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10</xdr:row>
      <xdr:rowOff>92075</xdr:rowOff>
    </xdr:from>
    <xdr:to>
      <xdr:col>4</xdr:col>
      <xdr:colOff>63500</xdr:colOff>
      <xdr:row>20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8AD92F-E7E5-AA2B-D10A-F73ED3151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276225</xdr:colOff>
      <xdr:row>10</xdr:row>
      <xdr:rowOff>101599</xdr:rowOff>
    </xdr:from>
    <xdr:to>
      <xdr:col>10</xdr:col>
      <xdr:colOff>425450</xdr:colOff>
      <xdr:row>23</xdr:row>
      <xdr:rowOff>22224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82DAEA-C4B3-A281-13DF-2C5B37B2D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8B0B63-62A4-4C6E-B449-00DF827B5280}" name="Tabela1" displayName="Tabela1" ref="A1:R249" totalsRowShown="0" headerRowDxfId="29" dataDxfId="27" headerRowBorderDxfId="28" tableBorderDxfId="26">
  <autoFilter ref="A1:R249" xr:uid="{1F8B0B63-62A4-4C6E-B449-00DF827B5280}">
    <filterColumn colId="0">
      <filters>
        <dateGroupItem year="2026" month="1" day="14" dateTimeGrouping="day"/>
      </filters>
    </filterColumn>
  </autoFilter>
  <tableColumns count="18">
    <tableColumn id="1" xr3:uid="{DD20089E-55E4-4B64-97B4-CFD0C8D04DD2}" name="Data" dataDxfId="25"/>
    <tableColumn id="2" xr3:uid="{597B2F0C-9996-499D-9642-33B88527DAC1}" name="Dia da semana" dataDxfId="24"/>
    <tableColumn id="3" xr3:uid="{38A189B3-B0FC-4726-BE97-19FE36B8A641}" name="Semana" dataDxfId="23"/>
    <tableColumn id="4" xr3:uid="{9C938D47-ACC5-4E26-A4F7-B594F4E12082}" name="Tipo de dia" dataDxfId="22"/>
    <tableColumn id="5" xr3:uid="{A4DA2648-C025-4092-9687-EFF8147EB6D1}" name="Tema macro" dataDxfId="21"/>
    <tableColumn id="6" xr3:uid="{9A6318A9-2A0C-48FD-A646-2F1C75028B56}" name="Ângulo/Trilha" dataDxfId="20"/>
    <tableColumn id="7" xr3:uid="{502E59C2-F4FC-48B2-82F9-E0549A5C6B2C}" name="Categoria" dataDxfId="19"/>
    <tableColumn id="8" xr3:uid="{D91C1147-B544-4C0A-B65E-B4AC95BC0D07}" name="Canal/Área" dataDxfId="18"/>
    <tableColumn id="9" xr3:uid="{B9B06EF1-659A-4DC4-8F80-99E308B20AD8}" name="O que" dataDxfId="17"/>
    <tableColumn id="10" xr3:uid="{D8600AD9-4D3F-4A67-BC86-173611F9219C}" name="Como" dataDxfId="16"/>
    <tableColumn id="11" xr3:uid="{A6933763-CE2C-472F-BDE9-55D32A393A3F}" name="Onde" dataDxfId="15"/>
    <tableColumn id="12" xr3:uid="{327983D7-44B9-44D3-9302-2D4935AFC3C8}" name="CTA" dataDxfId="14"/>
    <tableColumn id="13" xr3:uid="{6357BDE0-2C32-44E6-8459-8C0B62812029}" name="Descrição da ação" dataDxfId="13"/>
    <tableColumn id="14" xr3:uid="{7B2058E6-5204-4C5A-8C3B-F66F6E49ED52}" name="Duração (min)" dataDxfId="12"/>
    <tableColumn id="15" xr3:uid="{DA584B86-2696-498B-A94D-25D7FB561A54}" name="Prioridade" dataDxfId="11"/>
    <tableColumn id="16" xr3:uid="{03092BB6-A378-47B5-B071-A4478BD06681}" name="KPI/Meta" dataDxfId="10"/>
    <tableColumn id="17" xr3:uid="{6EB912E8-DB04-405B-9510-C0572BE7CA31}" name="Status" dataDxfId="9"/>
    <tableColumn id="20" xr3:uid="{37FC82DE-794B-46E3-9F1E-F94B214EF5D0}" name="Mês" dataDxfId="8">
      <calculatedColumnFormula>MONTH(Tabela1[[#This Row],[Data]])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9"/>
  <sheetViews>
    <sheetView tabSelected="1" topLeftCell="J1" workbookViewId="0">
      <selection activeCell="E1" sqref="E1"/>
    </sheetView>
  </sheetViews>
  <sheetFormatPr defaultRowHeight="14.5" x14ac:dyDescent="0.35"/>
  <cols>
    <col min="1" max="1" width="10.81640625" style="18" bestFit="1" customWidth="1"/>
    <col min="2" max="2" width="11.08984375" style="7" customWidth="1"/>
    <col min="3" max="3" width="13.26953125" style="7" customWidth="1"/>
    <col min="4" max="4" width="18.81640625" style="7" customWidth="1"/>
    <col min="5" max="5" width="38" style="7" customWidth="1"/>
    <col min="6" max="6" width="14.81640625" style="7" customWidth="1"/>
    <col min="7" max="7" width="12" style="7" customWidth="1"/>
    <col min="8" max="8" width="14.7265625" style="7" bestFit="1" customWidth="1"/>
    <col min="9" max="9" width="40" style="7" customWidth="1"/>
    <col min="10" max="10" width="38" style="7" customWidth="1"/>
    <col min="11" max="11" width="18" style="7" customWidth="1"/>
    <col min="12" max="12" width="22" style="7" customWidth="1"/>
    <col min="13" max="13" width="46" style="7" customWidth="1"/>
    <col min="14" max="14" width="14.7265625" style="7" customWidth="1"/>
    <col min="15" max="15" width="11.54296875" style="7" customWidth="1"/>
    <col min="16" max="16" width="18" style="7" customWidth="1"/>
    <col min="17" max="18" width="12" style="7" customWidth="1"/>
    <col min="19" max="16384" width="8.7265625" style="7"/>
  </cols>
  <sheetData>
    <row r="1" spans="1:18" ht="29" x14ac:dyDescent="0.35">
      <c r="A1" s="1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3" t="s">
        <v>385</v>
      </c>
    </row>
    <row r="2" spans="1:18" ht="42" hidden="1" x14ac:dyDescent="0.35">
      <c r="A2" s="14">
        <v>46023</v>
      </c>
      <c r="B2" s="8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8" t="s">
        <v>22</v>
      </c>
      <c r="H2" s="9" t="s">
        <v>23</v>
      </c>
      <c r="I2" s="9" t="s">
        <v>24</v>
      </c>
      <c r="J2" s="9" t="s">
        <v>25</v>
      </c>
      <c r="K2" s="9" t="s">
        <v>23</v>
      </c>
      <c r="L2" s="9" t="s">
        <v>26</v>
      </c>
      <c r="M2" s="9" t="s">
        <v>27</v>
      </c>
      <c r="N2" s="8">
        <v>120</v>
      </c>
      <c r="O2" s="8" t="s">
        <v>28</v>
      </c>
      <c r="P2" s="9" t="s">
        <v>29</v>
      </c>
      <c r="Q2" s="8" t="s">
        <v>364</v>
      </c>
      <c r="R2" s="8">
        <f>MONTH(Tabela1[[#This Row],[Data]])</f>
        <v>1</v>
      </c>
    </row>
    <row r="3" spans="1:18" ht="42" hidden="1" x14ac:dyDescent="0.35">
      <c r="A3" s="14">
        <v>46023</v>
      </c>
      <c r="B3" s="8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8" t="s">
        <v>22</v>
      </c>
      <c r="H3" s="9" t="s">
        <v>23</v>
      </c>
      <c r="I3" s="9" t="s">
        <v>31</v>
      </c>
      <c r="J3" s="9" t="s">
        <v>32</v>
      </c>
      <c r="K3" s="9" t="s">
        <v>33</v>
      </c>
      <c r="L3" s="9" t="s">
        <v>26</v>
      </c>
      <c r="M3" s="9" t="s">
        <v>34</v>
      </c>
      <c r="N3" s="8">
        <v>90</v>
      </c>
      <c r="O3" s="8" t="s">
        <v>28</v>
      </c>
      <c r="P3" s="9" t="s">
        <v>35</v>
      </c>
      <c r="Q3" s="8" t="s">
        <v>364</v>
      </c>
      <c r="R3" s="8">
        <f>MONTH(Tabela1[[#This Row],[Data]])</f>
        <v>1</v>
      </c>
    </row>
    <row r="4" spans="1:18" ht="42" hidden="1" x14ac:dyDescent="0.35">
      <c r="A4" s="14">
        <v>46024</v>
      </c>
      <c r="B4" s="8" t="s">
        <v>36</v>
      </c>
      <c r="C4" s="9" t="s">
        <v>18</v>
      </c>
      <c r="D4" s="9" t="s">
        <v>19</v>
      </c>
      <c r="E4" s="9" t="s">
        <v>20</v>
      </c>
      <c r="F4" s="9" t="s">
        <v>21</v>
      </c>
      <c r="G4" s="8" t="s">
        <v>22</v>
      </c>
      <c r="H4" s="9" t="s">
        <v>37</v>
      </c>
      <c r="I4" s="9" t="s">
        <v>38</v>
      </c>
      <c r="J4" s="9" t="s">
        <v>39</v>
      </c>
      <c r="K4" s="9" t="s">
        <v>40</v>
      </c>
      <c r="L4" s="9" t="s">
        <v>41</v>
      </c>
      <c r="M4" s="9" t="s">
        <v>42</v>
      </c>
      <c r="N4" s="8">
        <v>90</v>
      </c>
      <c r="O4" s="8" t="s">
        <v>28</v>
      </c>
      <c r="P4" s="9" t="s">
        <v>43</v>
      </c>
      <c r="Q4" s="8" t="s">
        <v>363</v>
      </c>
      <c r="R4" s="8">
        <f>MONTH(Tabela1[[#This Row],[Data]])</f>
        <v>1</v>
      </c>
    </row>
    <row r="5" spans="1:18" ht="42" hidden="1" x14ac:dyDescent="0.35">
      <c r="A5" s="14">
        <v>46024</v>
      </c>
      <c r="B5" s="8" t="s">
        <v>36</v>
      </c>
      <c r="C5" s="9" t="s">
        <v>18</v>
      </c>
      <c r="D5" s="9" t="s">
        <v>19</v>
      </c>
      <c r="E5" s="9" t="s">
        <v>20</v>
      </c>
      <c r="F5" s="9" t="s">
        <v>21</v>
      </c>
      <c r="G5" s="8" t="s">
        <v>22</v>
      </c>
      <c r="H5" s="9" t="s">
        <v>44</v>
      </c>
      <c r="I5" s="9" t="s">
        <v>45</v>
      </c>
      <c r="J5" s="9" t="s">
        <v>46</v>
      </c>
      <c r="K5" s="9" t="s">
        <v>47</v>
      </c>
      <c r="L5" s="9" t="s">
        <v>26</v>
      </c>
      <c r="M5" s="9" t="s">
        <v>48</v>
      </c>
      <c r="N5" s="8">
        <v>120</v>
      </c>
      <c r="O5" s="8" t="s">
        <v>28</v>
      </c>
      <c r="P5" s="9" t="s">
        <v>49</v>
      </c>
      <c r="Q5" s="8" t="s">
        <v>364</v>
      </c>
      <c r="R5" s="8">
        <f>MONTH(Tabela1[[#This Row],[Data]])</f>
        <v>1</v>
      </c>
    </row>
    <row r="6" spans="1:18" hidden="1" x14ac:dyDescent="0.35">
      <c r="A6" s="14">
        <v>46023</v>
      </c>
      <c r="B6" s="8" t="s">
        <v>17</v>
      </c>
      <c r="C6" s="9" t="s">
        <v>18</v>
      </c>
      <c r="D6" s="9"/>
      <c r="E6" s="9" t="s">
        <v>370</v>
      </c>
      <c r="F6" s="9"/>
      <c r="G6" s="8"/>
      <c r="H6" s="9"/>
      <c r="I6" s="9"/>
      <c r="J6" s="9"/>
      <c r="K6" s="9"/>
      <c r="L6" s="9"/>
      <c r="M6" s="9"/>
      <c r="N6" s="8"/>
      <c r="O6" s="8" t="s">
        <v>28</v>
      </c>
      <c r="P6" s="9"/>
      <c r="Q6" s="8" t="s">
        <v>30</v>
      </c>
      <c r="R6" s="8">
        <f>MONTH(Tabela1[[#This Row],[Data]])</f>
        <v>1</v>
      </c>
    </row>
    <row r="7" spans="1:18" ht="28" hidden="1" x14ac:dyDescent="0.35">
      <c r="A7" s="14">
        <v>46024</v>
      </c>
      <c r="B7" s="8" t="s">
        <v>83</v>
      </c>
      <c r="C7" s="9" t="s">
        <v>51</v>
      </c>
      <c r="D7" s="9"/>
      <c r="E7" s="9" t="s">
        <v>371</v>
      </c>
      <c r="F7" s="9"/>
      <c r="G7" s="8"/>
      <c r="H7" s="9"/>
      <c r="I7" s="9"/>
      <c r="J7" s="9"/>
      <c r="K7" s="9"/>
      <c r="L7" s="9"/>
      <c r="M7" s="9"/>
      <c r="N7" s="8"/>
      <c r="O7" s="8" t="s">
        <v>28</v>
      </c>
      <c r="P7" s="9"/>
      <c r="Q7" s="8" t="s">
        <v>30</v>
      </c>
      <c r="R7" s="8">
        <f>MONTH(Tabela1[[#This Row],[Data]])</f>
        <v>1</v>
      </c>
    </row>
    <row r="8" spans="1:18" ht="28" hidden="1" x14ac:dyDescent="0.35">
      <c r="A8" s="14">
        <v>46025</v>
      </c>
      <c r="B8" s="8" t="s">
        <v>83</v>
      </c>
      <c r="C8" s="9" t="s">
        <v>51</v>
      </c>
      <c r="D8" s="9"/>
      <c r="E8" s="9" t="s">
        <v>372</v>
      </c>
      <c r="F8" s="9"/>
      <c r="G8" s="8"/>
      <c r="H8" s="9"/>
      <c r="I8" s="9"/>
      <c r="J8" s="9" t="s">
        <v>377</v>
      </c>
      <c r="K8" s="9"/>
      <c r="L8" s="9"/>
      <c r="M8" s="9"/>
      <c r="N8" s="8"/>
      <c r="O8" s="8" t="s">
        <v>28</v>
      </c>
      <c r="P8" s="9"/>
      <c r="Q8" s="8" t="s">
        <v>30</v>
      </c>
      <c r="R8" s="8">
        <f>MONTH(Tabela1[[#This Row],[Data]])</f>
        <v>1</v>
      </c>
    </row>
    <row r="9" spans="1:18" ht="28" hidden="1" x14ac:dyDescent="0.35">
      <c r="A9" s="14">
        <v>46026</v>
      </c>
      <c r="B9" s="8" t="s">
        <v>83</v>
      </c>
      <c r="C9" s="9" t="s">
        <v>51</v>
      </c>
      <c r="D9" s="9"/>
      <c r="E9" s="9" t="s">
        <v>373</v>
      </c>
      <c r="F9" s="9"/>
      <c r="G9" s="8"/>
      <c r="H9" s="9"/>
      <c r="I9" s="9"/>
      <c r="J9" s="9" t="s">
        <v>377</v>
      </c>
      <c r="K9" s="9"/>
      <c r="L9" s="9"/>
      <c r="M9" s="9"/>
      <c r="N9" s="8"/>
      <c r="O9" s="8" t="s">
        <v>28</v>
      </c>
      <c r="P9" s="9"/>
      <c r="Q9" s="8" t="s">
        <v>30</v>
      </c>
      <c r="R9" s="8">
        <f>MONTH(Tabela1[[#This Row],[Data]])</f>
        <v>1</v>
      </c>
    </row>
    <row r="10" spans="1:18" ht="42" hidden="1" x14ac:dyDescent="0.35">
      <c r="A10" s="14">
        <v>46025</v>
      </c>
      <c r="B10" s="8" t="s">
        <v>50</v>
      </c>
      <c r="C10" s="9" t="s">
        <v>51</v>
      </c>
      <c r="D10" s="9" t="s">
        <v>52</v>
      </c>
      <c r="E10" s="9" t="s">
        <v>53</v>
      </c>
      <c r="F10" s="9" t="s">
        <v>54</v>
      </c>
      <c r="G10" s="8" t="s">
        <v>22</v>
      </c>
      <c r="H10" s="9" t="s">
        <v>44</v>
      </c>
      <c r="I10" s="9" t="s">
        <v>55</v>
      </c>
      <c r="J10" s="9" t="s">
        <v>56</v>
      </c>
      <c r="K10" s="9" t="s">
        <v>47</v>
      </c>
      <c r="L10" s="9" t="s">
        <v>57</v>
      </c>
      <c r="M10" s="9" t="s">
        <v>58</v>
      </c>
      <c r="N10" s="8">
        <v>150</v>
      </c>
      <c r="O10" s="8" t="s">
        <v>28</v>
      </c>
      <c r="P10" s="9" t="s">
        <v>59</v>
      </c>
      <c r="Q10" s="8" t="s">
        <v>30</v>
      </c>
      <c r="R10" s="8">
        <f>MONTH(Tabela1[[#This Row],[Data]])</f>
        <v>1</v>
      </c>
    </row>
    <row r="11" spans="1:18" ht="42" hidden="1" x14ac:dyDescent="0.35">
      <c r="A11" s="14">
        <v>46025</v>
      </c>
      <c r="B11" s="8" t="s">
        <v>50</v>
      </c>
      <c r="C11" s="9" t="s">
        <v>51</v>
      </c>
      <c r="D11" s="9" t="s">
        <v>52</v>
      </c>
      <c r="E11" s="9" t="s">
        <v>53</v>
      </c>
      <c r="F11" s="9" t="s">
        <v>60</v>
      </c>
      <c r="G11" s="8" t="s">
        <v>61</v>
      </c>
      <c r="H11" s="9" t="s">
        <v>62</v>
      </c>
      <c r="I11" s="9" t="s">
        <v>63</v>
      </c>
      <c r="J11" s="9" t="s">
        <v>64</v>
      </c>
      <c r="K11" s="9" t="s">
        <v>65</v>
      </c>
      <c r="L11" s="9" t="s">
        <v>66</v>
      </c>
      <c r="M11" s="9" t="s">
        <v>67</v>
      </c>
      <c r="N11" s="8">
        <v>70</v>
      </c>
      <c r="O11" s="8" t="s">
        <v>28</v>
      </c>
      <c r="P11" s="9" t="s">
        <v>68</v>
      </c>
      <c r="Q11" s="8" t="s">
        <v>30</v>
      </c>
      <c r="R11" s="8">
        <f>MONTH(Tabela1[[#This Row],[Data]])</f>
        <v>1</v>
      </c>
    </row>
    <row r="12" spans="1:18" ht="42" hidden="1" x14ac:dyDescent="0.35">
      <c r="A12" s="14">
        <v>46025</v>
      </c>
      <c r="B12" s="8" t="s">
        <v>50</v>
      </c>
      <c r="C12" s="9" t="s">
        <v>51</v>
      </c>
      <c r="D12" s="9" t="s">
        <v>52</v>
      </c>
      <c r="E12" s="9" t="s">
        <v>53</v>
      </c>
      <c r="F12" s="9" t="s">
        <v>60</v>
      </c>
      <c r="G12" s="8" t="s">
        <v>61</v>
      </c>
      <c r="H12" s="9" t="s">
        <v>69</v>
      </c>
      <c r="I12" s="9" t="s">
        <v>70</v>
      </c>
      <c r="J12" s="9" t="s">
        <v>71</v>
      </c>
      <c r="K12" s="9" t="s">
        <v>72</v>
      </c>
      <c r="L12" s="9" t="s">
        <v>26</v>
      </c>
      <c r="M12" s="9" t="s">
        <v>73</v>
      </c>
      <c r="N12" s="8">
        <v>80</v>
      </c>
      <c r="O12" s="8" t="s">
        <v>28</v>
      </c>
      <c r="P12" s="9" t="s">
        <v>74</v>
      </c>
      <c r="Q12" s="8" t="s">
        <v>30</v>
      </c>
      <c r="R12" s="8">
        <f>MONTH(Tabela1[[#This Row],[Data]])</f>
        <v>1</v>
      </c>
    </row>
    <row r="13" spans="1:18" ht="42" hidden="1" x14ac:dyDescent="0.35">
      <c r="A13" s="14">
        <v>46025</v>
      </c>
      <c r="B13" s="8" t="s">
        <v>50</v>
      </c>
      <c r="C13" s="9" t="s">
        <v>51</v>
      </c>
      <c r="D13" s="9" t="s">
        <v>52</v>
      </c>
      <c r="E13" s="9" t="s">
        <v>53</v>
      </c>
      <c r="F13" s="9" t="s">
        <v>60</v>
      </c>
      <c r="G13" s="8" t="s">
        <v>61</v>
      </c>
      <c r="H13" s="9" t="s">
        <v>75</v>
      </c>
      <c r="I13" s="9" t="s">
        <v>76</v>
      </c>
      <c r="J13" s="9" t="s">
        <v>77</v>
      </c>
      <c r="K13" s="9" t="s">
        <v>78</v>
      </c>
      <c r="L13" s="9" t="s">
        <v>26</v>
      </c>
      <c r="M13" s="9" t="s">
        <v>79</v>
      </c>
      <c r="N13" s="8">
        <v>35</v>
      </c>
      <c r="O13" s="8" t="s">
        <v>80</v>
      </c>
      <c r="P13" s="9" t="s">
        <v>81</v>
      </c>
      <c r="Q13" s="8" t="s">
        <v>30</v>
      </c>
      <c r="R13" s="8">
        <f>MONTH(Tabela1[[#This Row],[Data]])</f>
        <v>1</v>
      </c>
    </row>
    <row r="14" spans="1:18" ht="42" hidden="1" x14ac:dyDescent="0.35">
      <c r="A14" s="14">
        <v>46027</v>
      </c>
      <c r="B14" s="8" t="s">
        <v>83</v>
      </c>
      <c r="C14" s="9" t="s">
        <v>51</v>
      </c>
      <c r="D14" s="9" t="s">
        <v>84</v>
      </c>
      <c r="E14" s="9" t="s">
        <v>53</v>
      </c>
      <c r="F14" s="9" t="s">
        <v>85</v>
      </c>
      <c r="G14" s="8" t="s">
        <v>86</v>
      </c>
      <c r="H14" s="9" t="s">
        <v>87</v>
      </c>
      <c r="I14" s="9" t="s">
        <v>88</v>
      </c>
      <c r="J14" s="9" t="s">
        <v>89</v>
      </c>
      <c r="K14" s="9" t="s">
        <v>90</v>
      </c>
      <c r="L14" s="9" t="s">
        <v>91</v>
      </c>
      <c r="M14" s="9" t="s">
        <v>92</v>
      </c>
      <c r="N14" s="8">
        <v>150</v>
      </c>
      <c r="O14" s="8" t="s">
        <v>28</v>
      </c>
      <c r="P14" s="9" t="s">
        <v>93</v>
      </c>
      <c r="Q14" s="8" t="s">
        <v>30</v>
      </c>
      <c r="R14" s="8">
        <f>MONTH(Tabela1[[#This Row],[Data]])</f>
        <v>1</v>
      </c>
    </row>
    <row r="15" spans="1:18" ht="28" hidden="1" x14ac:dyDescent="0.35">
      <c r="A15" s="14">
        <v>46027</v>
      </c>
      <c r="B15" s="8" t="s">
        <v>83</v>
      </c>
      <c r="C15" s="9" t="s">
        <v>51</v>
      </c>
      <c r="D15" s="9" t="s">
        <v>84</v>
      </c>
      <c r="E15" s="9" t="s">
        <v>53</v>
      </c>
      <c r="F15" s="9" t="s">
        <v>85</v>
      </c>
      <c r="G15" s="8" t="s">
        <v>86</v>
      </c>
      <c r="H15" s="9" t="s">
        <v>94</v>
      </c>
      <c r="I15" s="9" t="s">
        <v>95</v>
      </c>
      <c r="J15" s="9" t="s">
        <v>96</v>
      </c>
      <c r="K15" s="9" t="s">
        <v>97</v>
      </c>
      <c r="L15" s="9" t="s">
        <v>98</v>
      </c>
      <c r="M15" s="9" t="s">
        <v>99</v>
      </c>
      <c r="N15" s="8">
        <v>60</v>
      </c>
      <c r="O15" s="8" t="s">
        <v>28</v>
      </c>
      <c r="P15" s="9" t="s">
        <v>100</v>
      </c>
      <c r="Q15" s="8" t="s">
        <v>30</v>
      </c>
      <c r="R15" s="8">
        <f>MONTH(Tabela1[[#This Row],[Data]])</f>
        <v>1</v>
      </c>
    </row>
    <row r="16" spans="1:18" ht="56" hidden="1" x14ac:dyDescent="0.35">
      <c r="A16" s="14">
        <v>46027</v>
      </c>
      <c r="B16" s="8" t="s">
        <v>83</v>
      </c>
      <c r="C16" s="9" t="s">
        <v>51</v>
      </c>
      <c r="D16" s="9" t="s">
        <v>84</v>
      </c>
      <c r="E16" s="9" t="s">
        <v>53</v>
      </c>
      <c r="F16" s="9" t="s">
        <v>85</v>
      </c>
      <c r="G16" s="8" t="s">
        <v>86</v>
      </c>
      <c r="H16" s="9" t="s">
        <v>101</v>
      </c>
      <c r="I16" s="9" t="s">
        <v>102</v>
      </c>
      <c r="J16" s="9" t="s">
        <v>103</v>
      </c>
      <c r="K16" s="9" t="s">
        <v>101</v>
      </c>
      <c r="L16" s="9" t="s">
        <v>104</v>
      </c>
      <c r="M16" s="9" t="s">
        <v>105</v>
      </c>
      <c r="N16" s="8">
        <v>60</v>
      </c>
      <c r="O16" s="8" t="s">
        <v>28</v>
      </c>
      <c r="P16" s="9" t="s">
        <v>106</v>
      </c>
      <c r="Q16" s="8" t="s">
        <v>30</v>
      </c>
      <c r="R16" s="8">
        <f>MONTH(Tabela1[[#This Row],[Data]])</f>
        <v>1</v>
      </c>
    </row>
    <row r="17" spans="1:18" ht="28" hidden="1" x14ac:dyDescent="0.35">
      <c r="A17" s="14">
        <v>46027</v>
      </c>
      <c r="B17" s="8" t="s">
        <v>83</v>
      </c>
      <c r="C17" s="9" t="s">
        <v>51</v>
      </c>
      <c r="D17" s="9" t="s">
        <v>84</v>
      </c>
      <c r="E17" s="9" t="s">
        <v>53</v>
      </c>
      <c r="F17" s="9" t="s">
        <v>85</v>
      </c>
      <c r="G17" s="8" t="s">
        <v>86</v>
      </c>
      <c r="H17" s="9" t="s">
        <v>107</v>
      </c>
      <c r="I17" s="9" t="s">
        <v>108</v>
      </c>
      <c r="J17" s="9" t="s">
        <v>109</v>
      </c>
      <c r="K17" s="9" t="s">
        <v>110</v>
      </c>
      <c r="L17" s="9" t="s">
        <v>111</v>
      </c>
      <c r="M17" s="9" t="s">
        <v>112</v>
      </c>
      <c r="N17" s="8">
        <v>90</v>
      </c>
      <c r="O17" s="8" t="s">
        <v>28</v>
      </c>
      <c r="P17" s="9" t="s">
        <v>113</v>
      </c>
      <c r="Q17" s="8" t="s">
        <v>30</v>
      </c>
      <c r="R17" s="8">
        <f>MONTH(Tabela1[[#This Row],[Data]])</f>
        <v>1</v>
      </c>
    </row>
    <row r="18" spans="1:18" ht="28" hidden="1" x14ac:dyDescent="0.35">
      <c r="A18" s="14">
        <v>46027</v>
      </c>
      <c r="B18" s="8" t="s">
        <v>83</v>
      </c>
      <c r="C18" s="9" t="s">
        <v>51</v>
      </c>
      <c r="D18" s="9" t="s">
        <v>84</v>
      </c>
      <c r="E18" s="9" t="s">
        <v>53</v>
      </c>
      <c r="F18" s="9" t="s">
        <v>54</v>
      </c>
      <c r="G18" s="8" t="s">
        <v>114</v>
      </c>
      <c r="H18" s="9" t="s">
        <v>115</v>
      </c>
      <c r="I18" s="9" t="s">
        <v>116</v>
      </c>
      <c r="J18" s="9" t="s">
        <v>117</v>
      </c>
      <c r="K18" s="9" t="s">
        <v>23</v>
      </c>
      <c r="L18" s="9" t="s">
        <v>26</v>
      </c>
      <c r="M18" s="9" t="s">
        <v>118</v>
      </c>
      <c r="N18" s="8">
        <v>20</v>
      </c>
      <c r="O18" s="8" t="s">
        <v>80</v>
      </c>
      <c r="P18" s="9" t="s">
        <v>119</v>
      </c>
      <c r="Q18" s="8" t="s">
        <v>30</v>
      </c>
      <c r="R18" s="8">
        <f>MONTH(Tabela1[[#This Row],[Data]])</f>
        <v>1</v>
      </c>
    </row>
    <row r="19" spans="1:18" ht="42" hidden="1" x14ac:dyDescent="0.35">
      <c r="A19" s="14">
        <v>46028</v>
      </c>
      <c r="B19" s="8" t="s">
        <v>120</v>
      </c>
      <c r="C19" s="9" t="s">
        <v>51</v>
      </c>
      <c r="D19" s="9" t="s">
        <v>19</v>
      </c>
      <c r="E19" s="9" t="s">
        <v>53</v>
      </c>
      <c r="F19" s="9" t="s">
        <v>54</v>
      </c>
      <c r="G19" s="8" t="s">
        <v>121</v>
      </c>
      <c r="H19" s="9" t="s">
        <v>44</v>
      </c>
      <c r="I19" s="9" t="s">
        <v>122</v>
      </c>
      <c r="J19" s="9" t="s">
        <v>123</v>
      </c>
      <c r="K19" s="9" t="s">
        <v>47</v>
      </c>
      <c r="L19" s="9" t="s">
        <v>124</v>
      </c>
      <c r="M19" s="9" t="s">
        <v>125</v>
      </c>
      <c r="N19" s="8">
        <v>30</v>
      </c>
      <c r="O19" s="8" t="s">
        <v>28</v>
      </c>
      <c r="P19" s="9" t="s">
        <v>126</v>
      </c>
      <c r="Q19" s="8" t="s">
        <v>30</v>
      </c>
      <c r="R19" s="8">
        <f>MONTH(Tabela1[[#This Row],[Data]])</f>
        <v>1</v>
      </c>
    </row>
    <row r="20" spans="1:18" ht="42" hidden="1" x14ac:dyDescent="0.35">
      <c r="A20" s="14">
        <v>46028</v>
      </c>
      <c r="B20" s="8" t="s">
        <v>120</v>
      </c>
      <c r="C20" s="9" t="s">
        <v>51</v>
      </c>
      <c r="D20" s="9" t="s">
        <v>19</v>
      </c>
      <c r="E20" s="9" t="s">
        <v>53</v>
      </c>
      <c r="F20" s="9" t="s">
        <v>54</v>
      </c>
      <c r="G20" s="8" t="s">
        <v>114</v>
      </c>
      <c r="H20" s="9" t="s">
        <v>44</v>
      </c>
      <c r="I20" s="9" t="s">
        <v>127</v>
      </c>
      <c r="J20" s="9" t="s">
        <v>128</v>
      </c>
      <c r="K20" s="9" t="s">
        <v>47</v>
      </c>
      <c r="L20" s="9" t="s">
        <v>129</v>
      </c>
      <c r="M20" s="9" t="s">
        <v>130</v>
      </c>
      <c r="N20" s="8">
        <v>30</v>
      </c>
      <c r="O20" s="8" t="s">
        <v>28</v>
      </c>
      <c r="P20" s="9" t="s">
        <v>131</v>
      </c>
      <c r="Q20" s="8" t="s">
        <v>30</v>
      </c>
      <c r="R20" s="8">
        <f>MONTH(Tabela1[[#This Row],[Data]])</f>
        <v>1</v>
      </c>
    </row>
    <row r="21" spans="1:18" ht="28" hidden="1" x14ac:dyDescent="0.35">
      <c r="A21" s="14">
        <v>46028</v>
      </c>
      <c r="B21" s="8" t="s">
        <v>120</v>
      </c>
      <c r="C21" s="9" t="s">
        <v>51</v>
      </c>
      <c r="D21" s="9" t="s">
        <v>19</v>
      </c>
      <c r="E21" s="9" t="s">
        <v>53</v>
      </c>
      <c r="F21" s="9" t="s">
        <v>54</v>
      </c>
      <c r="G21" s="8" t="s">
        <v>121</v>
      </c>
      <c r="H21" s="9" t="s">
        <v>132</v>
      </c>
      <c r="I21" s="9" t="s">
        <v>133</v>
      </c>
      <c r="J21" s="9" t="s">
        <v>134</v>
      </c>
      <c r="K21" s="9" t="s">
        <v>101</v>
      </c>
      <c r="L21" s="9" t="s">
        <v>135</v>
      </c>
      <c r="M21" s="9" t="s">
        <v>136</v>
      </c>
      <c r="N21" s="8">
        <v>20</v>
      </c>
      <c r="O21" s="8" t="s">
        <v>80</v>
      </c>
      <c r="P21" s="9" t="s">
        <v>137</v>
      </c>
      <c r="Q21" s="8" t="s">
        <v>30</v>
      </c>
      <c r="R21" s="8">
        <f>MONTH(Tabela1[[#This Row],[Data]])</f>
        <v>1</v>
      </c>
    </row>
    <row r="22" spans="1:18" ht="28" hidden="1" x14ac:dyDescent="0.35">
      <c r="A22" s="14">
        <v>46029</v>
      </c>
      <c r="B22" s="8" t="s">
        <v>138</v>
      </c>
      <c r="C22" s="9" t="s">
        <v>51</v>
      </c>
      <c r="D22" s="9" t="s">
        <v>19</v>
      </c>
      <c r="E22" s="9" t="s">
        <v>53</v>
      </c>
      <c r="F22" s="9" t="s">
        <v>54</v>
      </c>
      <c r="G22" s="8" t="s">
        <v>114</v>
      </c>
      <c r="H22" s="9" t="s">
        <v>37</v>
      </c>
      <c r="I22" s="9" t="s">
        <v>139</v>
      </c>
      <c r="J22" s="9" t="s">
        <v>140</v>
      </c>
      <c r="K22" s="9" t="s">
        <v>141</v>
      </c>
      <c r="L22" s="9" t="s">
        <v>41</v>
      </c>
      <c r="M22" s="9" t="s">
        <v>142</v>
      </c>
      <c r="N22" s="8">
        <v>35</v>
      </c>
      <c r="O22" s="8" t="s">
        <v>28</v>
      </c>
      <c r="P22" s="9" t="s">
        <v>143</v>
      </c>
      <c r="Q22" s="8" t="s">
        <v>30</v>
      </c>
      <c r="R22" s="8">
        <f>MONTH(Tabela1[[#This Row],[Data]])</f>
        <v>1</v>
      </c>
    </row>
    <row r="23" spans="1:18" ht="42" hidden="1" x14ac:dyDescent="0.35">
      <c r="A23" s="14">
        <v>46029</v>
      </c>
      <c r="B23" s="8" t="s">
        <v>138</v>
      </c>
      <c r="C23" s="9" t="s">
        <v>51</v>
      </c>
      <c r="D23" s="9" t="s">
        <v>19</v>
      </c>
      <c r="E23" s="9" t="s">
        <v>53</v>
      </c>
      <c r="F23" s="9" t="s">
        <v>54</v>
      </c>
      <c r="G23" s="8" t="s">
        <v>114</v>
      </c>
      <c r="H23" s="9" t="s">
        <v>75</v>
      </c>
      <c r="I23" s="9" t="s">
        <v>144</v>
      </c>
      <c r="J23" s="9" t="s">
        <v>145</v>
      </c>
      <c r="K23" s="9" t="s">
        <v>47</v>
      </c>
      <c r="L23" s="9" t="s">
        <v>26</v>
      </c>
      <c r="M23" s="9" t="s">
        <v>146</v>
      </c>
      <c r="N23" s="8">
        <v>30</v>
      </c>
      <c r="O23" s="8" t="s">
        <v>28</v>
      </c>
      <c r="P23" s="9" t="s">
        <v>147</v>
      </c>
      <c r="Q23" s="8" t="s">
        <v>30</v>
      </c>
      <c r="R23" s="8">
        <f>MONTH(Tabela1[[#This Row],[Data]])</f>
        <v>1</v>
      </c>
    </row>
    <row r="24" spans="1:18" ht="42" hidden="1" x14ac:dyDescent="0.35">
      <c r="A24" s="14">
        <v>46030</v>
      </c>
      <c r="B24" s="8" t="s">
        <v>17</v>
      </c>
      <c r="C24" s="9" t="s">
        <v>51</v>
      </c>
      <c r="D24" s="9" t="s">
        <v>19</v>
      </c>
      <c r="E24" s="9" t="s">
        <v>53</v>
      </c>
      <c r="F24" s="9" t="s">
        <v>54</v>
      </c>
      <c r="G24" s="8" t="s">
        <v>121</v>
      </c>
      <c r="H24" s="9" t="s">
        <v>132</v>
      </c>
      <c r="I24" s="9" t="s">
        <v>148</v>
      </c>
      <c r="J24" s="9" t="s">
        <v>149</v>
      </c>
      <c r="K24" s="9" t="s">
        <v>150</v>
      </c>
      <c r="L24" s="9" t="s">
        <v>151</v>
      </c>
      <c r="M24" s="9" t="s">
        <v>152</v>
      </c>
      <c r="N24" s="8">
        <v>40</v>
      </c>
      <c r="O24" s="8" t="s">
        <v>28</v>
      </c>
      <c r="P24" s="9" t="s">
        <v>153</v>
      </c>
      <c r="Q24" s="8" t="s">
        <v>30</v>
      </c>
      <c r="R24" s="8">
        <f>MONTH(Tabela1[[#This Row],[Data]])</f>
        <v>1</v>
      </c>
    </row>
    <row r="25" spans="1:18" ht="42" hidden="1" x14ac:dyDescent="0.35">
      <c r="A25" s="14">
        <v>46030</v>
      </c>
      <c r="B25" s="8" t="s">
        <v>17</v>
      </c>
      <c r="C25" s="9" t="s">
        <v>51</v>
      </c>
      <c r="D25" s="9" t="s">
        <v>19</v>
      </c>
      <c r="E25" s="9" t="s">
        <v>53</v>
      </c>
      <c r="F25" s="9" t="s">
        <v>54</v>
      </c>
      <c r="G25" s="8" t="s">
        <v>121</v>
      </c>
      <c r="H25" s="9" t="s">
        <v>44</v>
      </c>
      <c r="I25" s="9" t="s">
        <v>154</v>
      </c>
      <c r="J25" s="9" t="s">
        <v>155</v>
      </c>
      <c r="K25" s="9" t="s">
        <v>47</v>
      </c>
      <c r="L25" s="9" t="s">
        <v>41</v>
      </c>
      <c r="M25" s="9" t="s">
        <v>156</v>
      </c>
      <c r="N25" s="8">
        <v>25</v>
      </c>
      <c r="O25" s="8" t="s">
        <v>80</v>
      </c>
      <c r="P25" s="9" t="s">
        <v>157</v>
      </c>
      <c r="Q25" s="8" t="s">
        <v>30</v>
      </c>
      <c r="R25" s="8">
        <f>MONTH(Tabela1[[#This Row],[Data]])</f>
        <v>1</v>
      </c>
    </row>
    <row r="26" spans="1:18" ht="42" hidden="1" x14ac:dyDescent="0.35">
      <c r="A26" s="14">
        <v>46031</v>
      </c>
      <c r="B26" s="8" t="s">
        <v>36</v>
      </c>
      <c r="C26" s="9" t="s">
        <v>51</v>
      </c>
      <c r="D26" s="9" t="s">
        <v>19</v>
      </c>
      <c r="E26" s="9" t="s">
        <v>53</v>
      </c>
      <c r="F26" s="9" t="s">
        <v>54</v>
      </c>
      <c r="G26" s="8" t="s">
        <v>114</v>
      </c>
      <c r="H26" s="9" t="s">
        <v>158</v>
      </c>
      <c r="I26" s="9" t="s">
        <v>159</v>
      </c>
      <c r="J26" s="9" t="s">
        <v>160</v>
      </c>
      <c r="K26" s="9" t="s">
        <v>161</v>
      </c>
      <c r="L26" s="9" t="s">
        <v>41</v>
      </c>
      <c r="M26" s="9" t="s">
        <v>162</v>
      </c>
      <c r="N26" s="8">
        <v>50</v>
      </c>
      <c r="O26" s="8" t="s">
        <v>28</v>
      </c>
      <c r="P26" s="9" t="s">
        <v>163</v>
      </c>
      <c r="Q26" s="8" t="s">
        <v>30</v>
      </c>
      <c r="R26" s="8">
        <f>MONTH(Tabela1[[#This Row],[Data]])</f>
        <v>1</v>
      </c>
    </row>
    <row r="27" spans="1:18" ht="28" hidden="1" x14ac:dyDescent="0.35">
      <c r="A27" s="14">
        <v>46031</v>
      </c>
      <c r="B27" s="8" t="s">
        <v>36</v>
      </c>
      <c r="C27" s="9" t="s">
        <v>51</v>
      </c>
      <c r="D27" s="9" t="s">
        <v>19</v>
      </c>
      <c r="E27" s="9" t="s">
        <v>53</v>
      </c>
      <c r="F27" s="9" t="s">
        <v>54</v>
      </c>
      <c r="G27" s="8" t="s">
        <v>121</v>
      </c>
      <c r="H27" s="9" t="s">
        <v>164</v>
      </c>
      <c r="I27" s="9" t="s">
        <v>165</v>
      </c>
      <c r="J27" s="9" t="s">
        <v>166</v>
      </c>
      <c r="K27" s="9" t="s">
        <v>23</v>
      </c>
      <c r="L27" s="9" t="s">
        <v>26</v>
      </c>
      <c r="M27" s="9" t="s">
        <v>167</v>
      </c>
      <c r="N27" s="8">
        <v>20</v>
      </c>
      <c r="O27" s="8" t="s">
        <v>80</v>
      </c>
      <c r="P27" s="9" t="s">
        <v>168</v>
      </c>
      <c r="Q27" s="8" t="s">
        <v>30</v>
      </c>
      <c r="R27" s="8">
        <f>MONTH(Tabela1[[#This Row],[Data]])</f>
        <v>1</v>
      </c>
    </row>
    <row r="28" spans="1:18" ht="42" hidden="1" x14ac:dyDescent="0.35">
      <c r="A28" s="14">
        <v>46032</v>
      </c>
      <c r="B28" s="8" t="s">
        <v>50</v>
      </c>
      <c r="C28" s="9" t="s">
        <v>169</v>
      </c>
      <c r="D28" s="9" t="s">
        <v>52</v>
      </c>
      <c r="E28" s="9" t="s">
        <v>170</v>
      </c>
      <c r="F28" s="9" t="s">
        <v>60</v>
      </c>
      <c r="G28" s="8" t="s">
        <v>61</v>
      </c>
      <c r="H28" s="9" t="s">
        <v>62</v>
      </c>
      <c r="I28" s="9" t="s">
        <v>63</v>
      </c>
      <c r="J28" s="9" t="s">
        <v>64</v>
      </c>
      <c r="K28" s="9" t="s">
        <v>65</v>
      </c>
      <c r="L28" s="9" t="s">
        <v>171</v>
      </c>
      <c r="M28" s="9" t="s">
        <v>172</v>
      </c>
      <c r="N28" s="8">
        <v>70</v>
      </c>
      <c r="O28" s="8" t="s">
        <v>28</v>
      </c>
      <c r="P28" s="9" t="s">
        <v>68</v>
      </c>
      <c r="Q28" s="8" t="s">
        <v>30</v>
      </c>
      <c r="R28" s="8">
        <f>MONTH(Tabela1[[#This Row],[Data]])</f>
        <v>1</v>
      </c>
    </row>
    <row r="29" spans="1:18" ht="42" hidden="1" x14ac:dyDescent="0.35">
      <c r="A29" s="14">
        <v>46032</v>
      </c>
      <c r="B29" s="8" t="s">
        <v>50</v>
      </c>
      <c r="C29" s="9" t="s">
        <v>169</v>
      </c>
      <c r="D29" s="9" t="s">
        <v>52</v>
      </c>
      <c r="E29" s="9" t="s">
        <v>170</v>
      </c>
      <c r="F29" s="9" t="s">
        <v>60</v>
      </c>
      <c r="G29" s="8" t="s">
        <v>61</v>
      </c>
      <c r="H29" s="9" t="s">
        <v>69</v>
      </c>
      <c r="I29" s="9" t="s">
        <v>70</v>
      </c>
      <c r="J29" s="9" t="s">
        <v>71</v>
      </c>
      <c r="K29" s="9" t="s">
        <v>72</v>
      </c>
      <c r="L29" s="9" t="s">
        <v>26</v>
      </c>
      <c r="M29" s="9" t="s">
        <v>73</v>
      </c>
      <c r="N29" s="8">
        <v>80</v>
      </c>
      <c r="O29" s="8" t="s">
        <v>28</v>
      </c>
      <c r="P29" s="9" t="s">
        <v>74</v>
      </c>
      <c r="Q29" s="8" t="s">
        <v>30</v>
      </c>
      <c r="R29" s="8">
        <f>MONTH(Tabela1[[#This Row],[Data]])</f>
        <v>1</v>
      </c>
    </row>
    <row r="30" spans="1:18" ht="42" hidden="1" x14ac:dyDescent="0.35">
      <c r="A30" s="14">
        <v>46032</v>
      </c>
      <c r="B30" s="8" t="s">
        <v>50</v>
      </c>
      <c r="C30" s="9" t="s">
        <v>169</v>
      </c>
      <c r="D30" s="9" t="s">
        <v>52</v>
      </c>
      <c r="E30" s="9" t="s">
        <v>170</v>
      </c>
      <c r="F30" s="9" t="s">
        <v>60</v>
      </c>
      <c r="G30" s="8" t="s">
        <v>61</v>
      </c>
      <c r="H30" s="9" t="s">
        <v>75</v>
      </c>
      <c r="I30" s="9" t="s">
        <v>76</v>
      </c>
      <c r="J30" s="9" t="s">
        <v>77</v>
      </c>
      <c r="K30" s="9" t="s">
        <v>78</v>
      </c>
      <c r="L30" s="9" t="s">
        <v>26</v>
      </c>
      <c r="M30" s="9" t="s">
        <v>79</v>
      </c>
      <c r="N30" s="8">
        <v>35</v>
      </c>
      <c r="O30" s="8" t="s">
        <v>80</v>
      </c>
      <c r="P30" s="9" t="s">
        <v>81</v>
      </c>
      <c r="Q30" s="8" t="s">
        <v>30</v>
      </c>
      <c r="R30" s="8">
        <f>MONTH(Tabela1[[#This Row],[Data]])</f>
        <v>1</v>
      </c>
    </row>
    <row r="31" spans="1:18" ht="42" hidden="1" x14ac:dyDescent="0.35">
      <c r="A31" s="14">
        <v>46034</v>
      </c>
      <c r="B31" s="8" t="s">
        <v>83</v>
      </c>
      <c r="C31" s="9" t="s">
        <v>169</v>
      </c>
      <c r="D31" s="9" t="s">
        <v>84</v>
      </c>
      <c r="E31" s="9" t="s">
        <v>170</v>
      </c>
      <c r="F31" s="9" t="s">
        <v>85</v>
      </c>
      <c r="G31" s="8" t="s">
        <v>86</v>
      </c>
      <c r="H31" s="9" t="s">
        <v>87</v>
      </c>
      <c r="I31" s="9" t="s">
        <v>88</v>
      </c>
      <c r="J31" s="9" t="s">
        <v>89</v>
      </c>
      <c r="K31" s="9" t="s">
        <v>90</v>
      </c>
      <c r="L31" s="9" t="s">
        <v>91</v>
      </c>
      <c r="M31" s="9" t="s">
        <v>174</v>
      </c>
      <c r="N31" s="8">
        <v>150</v>
      </c>
      <c r="O31" s="8" t="s">
        <v>28</v>
      </c>
      <c r="P31" s="9" t="s">
        <v>93</v>
      </c>
      <c r="Q31" s="8" t="s">
        <v>30</v>
      </c>
      <c r="R31" s="8">
        <f>MONTH(Tabela1[[#This Row],[Data]])</f>
        <v>1</v>
      </c>
    </row>
    <row r="32" spans="1:18" ht="28" hidden="1" x14ac:dyDescent="0.35">
      <c r="A32" s="14">
        <v>46034</v>
      </c>
      <c r="B32" s="8" t="s">
        <v>83</v>
      </c>
      <c r="C32" s="9" t="s">
        <v>169</v>
      </c>
      <c r="D32" s="9" t="s">
        <v>84</v>
      </c>
      <c r="E32" s="9" t="s">
        <v>170</v>
      </c>
      <c r="F32" s="9" t="s">
        <v>85</v>
      </c>
      <c r="G32" s="8" t="s">
        <v>86</v>
      </c>
      <c r="H32" s="9" t="s">
        <v>94</v>
      </c>
      <c r="I32" s="9" t="s">
        <v>95</v>
      </c>
      <c r="J32" s="9" t="s">
        <v>96</v>
      </c>
      <c r="K32" s="9" t="s">
        <v>97</v>
      </c>
      <c r="L32" s="9" t="s">
        <v>98</v>
      </c>
      <c r="M32" s="9" t="s">
        <v>99</v>
      </c>
      <c r="N32" s="8">
        <v>60</v>
      </c>
      <c r="O32" s="8" t="s">
        <v>28</v>
      </c>
      <c r="P32" s="9" t="s">
        <v>100</v>
      </c>
      <c r="Q32" s="8" t="s">
        <v>30</v>
      </c>
      <c r="R32" s="8">
        <f>MONTH(Tabela1[[#This Row],[Data]])</f>
        <v>1</v>
      </c>
    </row>
    <row r="33" spans="1:18" ht="56" hidden="1" x14ac:dyDescent="0.35">
      <c r="A33" s="14">
        <v>46034</v>
      </c>
      <c r="B33" s="8" t="s">
        <v>83</v>
      </c>
      <c r="C33" s="9" t="s">
        <v>169</v>
      </c>
      <c r="D33" s="9" t="s">
        <v>84</v>
      </c>
      <c r="E33" s="9" t="s">
        <v>170</v>
      </c>
      <c r="F33" s="9" t="s">
        <v>85</v>
      </c>
      <c r="G33" s="8" t="s">
        <v>86</v>
      </c>
      <c r="H33" s="9" t="s">
        <v>101</v>
      </c>
      <c r="I33" s="9" t="s">
        <v>102</v>
      </c>
      <c r="J33" s="9" t="s">
        <v>103</v>
      </c>
      <c r="K33" s="9" t="s">
        <v>101</v>
      </c>
      <c r="L33" s="9" t="s">
        <v>104</v>
      </c>
      <c r="M33" s="9" t="s">
        <v>105</v>
      </c>
      <c r="N33" s="8">
        <v>60</v>
      </c>
      <c r="O33" s="8" t="s">
        <v>28</v>
      </c>
      <c r="P33" s="9" t="s">
        <v>106</v>
      </c>
      <c r="Q33" s="8" t="s">
        <v>30</v>
      </c>
      <c r="R33" s="8">
        <f>MONTH(Tabela1[[#This Row],[Data]])</f>
        <v>1</v>
      </c>
    </row>
    <row r="34" spans="1:18" ht="28" hidden="1" x14ac:dyDescent="0.35">
      <c r="A34" s="14">
        <v>46034</v>
      </c>
      <c r="B34" s="8" t="s">
        <v>83</v>
      </c>
      <c r="C34" s="9" t="s">
        <v>169</v>
      </c>
      <c r="D34" s="9" t="s">
        <v>84</v>
      </c>
      <c r="E34" s="9" t="s">
        <v>170</v>
      </c>
      <c r="F34" s="9" t="s">
        <v>85</v>
      </c>
      <c r="G34" s="8" t="s">
        <v>86</v>
      </c>
      <c r="H34" s="9" t="s">
        <v>107</v>
      </c>
      <c r="I34" s="9" t="s">
        <v>108</v>
      </c>
      <c r="J34" s="9" t="s">
        <v>109</v>
      </c>
      <c r="K34" s="9" t="s">
        <v>110</v>
      </c>
      <c r="L34" s="9" t="s">
        <v>111</v>
      </c>
      <c r="M34" s="9" t="s">
        <v>112</v>
      </c>
      <c r="N34" s="8">
        <v>90</v>
      </c>
      <c r="O34" s="8" t="s">
        <v>28</v>
      </c>
      <c r="P34" s="9" t="s">
        <v>113</v>
      </c>
      <c r="Q34" s="8" t="s">
        <v>30</v>
      </c>
      <c r="R34" s="8">
        <f>MONTH(Tabela1[[#This Row],[Data]])</f>
        <v>1</v>
      </c>
    </row>
    <row r="35" spans="1:18" ht="28" hidden="1" x14ac:dyDescent="0.35">
      <c r="A35" s="16">
        <v>46034</v>
      </c>
      <c r="B35" s="8" t="s">
        <v>83</v>
      </c>
      <c r="C35" s="9" t="s">
        <v>169</v>
      </c>
      <c r="D35" s="9" t="s">
        <v>84</v>
      </c>
      <c r="E35" s="9" t="s">
        <v>386</v>
      </c>
      <c r="F35" s="9" t="s">
        <v>21</v>
      </c>
      <c r="G35" s="8" t="s">
        <v>22</v>
      </c>
      <c r="H35" s="9" t="s">
        <v>37</v>
      </c>
      <c r="I35" s="9" t="s">
        <v>387</v>
      </c>
      <c r="J35" s="9" t="s">
        <v>387</v>
      </c>
      <c r="K35" s="9" t="s">
        <v>388</v>
      </c>
      <c r="L35" s="9" t="s">
        <v>389</v>
      </c>
      <c r="M35" s="9" t="s">
        <v>390</v>
      </c>
      <c r="N35" s="8">
        <v>30</v>
      </c>
      <c r="O35" s="8" t="s">
        <v>28</v>
      </c>
      <c r="P35" s="9" t="s">
        <v>232</v>
      </c>
      <c r="Q35" s="11" t="s">
        <v>30</v>
      </c>
      <c r="R35" s="8">
        <f>MONTH(Tabela1[[#This Row],[Data]])</f>
        <v>1</v>
      </c>
    </row>
    <row r="36" spans="1:18" ht="42" hidden="1" x14ac:dyDescent="0.35">
      <c r="A36" s="14">
        <v>46034</v>
      </c>
      <c r="B36" s="8" t="s">
        <v>83</v>
      </c>
      <c r="C36" s="9" t="s">
        <v>169</v>
      </c>
      <c r="D36" s="9" t="s">
        <v>84</v>
      </c>
      <c r="E36" s="9" t="s">
        <v>170</v>
      </c>
      <c r="F36" s="9" t="s">
        <v>21</v>
      </c>
      <c r="G36" s="8" t="s">
        <v>114</v>
      </c>
      <c r="H36" s="9" t="s">
        <v>175</v>
      </c>
      <c r="I36" s="9" t="s">
        <v>176</v>
      </c>
      <c r="J36" s="9" t="s">
        <v>177</v>
      </c>
      <c r="K36" s="9" t="s">
        <v>178</v>
      </c>
      <c r="L36" s="9" t="s">
        <v>179</v>
      </c>
      <c r="M36" s="9" t="s">
        <v>180</v>
      </c>
      <c r="N36" s="8">
        <v>35</v>
      </c>
      <c r="O36" s="8" t="s">
        <v>28</v>
      </c>
      <c r="P36" s="9" t="s">
        <v>181</v>
      </c>
      <c r="Q36" s="8" t="s">
        <v>30</v>
      </c>
      <c r="R36" s="8">
        <f>MONTH(Tabela1[[#This Row],[Data]])</f>
        <v>1</v>
      </c>
    </row>
    <row r="37" spans="1:18" ht="42" hidden="1" x14ac:dyDescent="0.35">
      <c r="A37" s="14">
        <v>46035</v>
      </c>
      <c r="B37" s="8" t="s">
        <v>120</v>
      </c>
      <c r="C37" s="9" t="s">
        <v>169</v>
      </c>
      <c r="D37" s="9" t="s">
        <v>19</v>
      </c>
      <c r="E37" s="9" t="s">
        <v>170</v>
      </c>
      <c r="F37" s="9" t="s">
        <v>21</v>
      </c>
      <c r="G37" s="8" t="s">
        <v>121</v>
      </c>
      <c r="H37" s="9" t="s">
        <v>44</v>
      </c>
      <c r="I37" s="9" t="s">
        <v>122</v>
      </c>
      <c r="J37" s="9" t="s">
        <v>123</v>
      </c>
      <c r="K37" s="9" t="s">
        <v>47</v>
      </c>
      <c r="L37" s="9" t="s">
        <v>124</v>
      </c>
      <c r="M37" s="9" t="s">
        <v>125</v>
      </c>
      <c r="N37" s="8">
        <v>30</v>
      </c>
      <c r="O37" s="8" t="s">
        <v>28</v>
      </c>
      <c r="P37" s="9" t="s">
        <v>126</v>
      </c>
      <c r="Q37" s="8" t="s">
        <v>30</v>
      </c>
      <c r="R37" s="8">
        <f>MONTH(Tabela1[[#This Row],[Data]])</f>
        <v>1</v>
      </c>
    </row>
    <row r="38" spans="1:18" ht="42" hidden="1" x14ac:dyDescent="0.35">
      <c r="A38" s="14">
        <v>46035</v>
      </c>
      <c r="B38" s="8" t="s">
        <v>120</v>
      </c>
      <c r="C38" s="9" t="s">
        <v>169</v>
      </c>
      <c r="D38" s="9" t="s">
        <v>19</v>
      </c>
      <c r="E38" s="9" t="s">
        <v>170</v>
      </c>
      <c r="F38" s="9" t="s">
        <v>21</v>
      </c>
      <c r="G38" s="8" t="s">
        <v>114</v>
      </c>
      <c r="H38" s="9" t="s">
        <v>44</v>
      </c>
      <c r="I38" s="9" t="s">
        <v>127</v>
      </c>
      <c r="J38" s="9" t="s">
        <v>128</v>
      </c>
      <c r="K38" s="9" t="s">
        <v>47</v>
      </c>
      <c r="L38" s="9" t="s">
        <v>129</v>
      </c>
      <c r="M38" s="9" t="s">
        <v>182</v>
      </c>
      <c r="N38" s="8">
        <v>30</v>
      </c>
      <c r="O38" s="8" t="s">
        <v>28</v>
      </c>
      <c r="P38" s="9" t="s">
        <v>131</v>
      </c>
      <c r="Q38" s="8" t="s">
        <v>30</v>
      </c>
      <c r="R38" s="8">
        <f>MONTH(Tabela1[[#This Row],[Data]])</f>
        <v>1</v>
      </c>
    </row>
    <row r="39" spans="1:18" ht="28" hidden="1" x14ac:dyDescent="0.35">
      <c r="A39" s="14">
        <v>46035</v>
      </c>
      <c r="B39" s="8" t="s">
        <v>120</v>
      </c>
      <c r="C39" s="9" t="s">
        <v>169</v>
      </c>
      <c r="D39" s="9" t="s">
        <v>19</v>
      </c>
      <c r="E39" s="9" t="s">
        <v>170</v>
      </c>
      <c r="F39" s="9" t="s">
        <v>21</v>
      </c>
      <c r="G39" s="8" t="s">
        <v>121</v>
      </c>
      <c r="H39" s="9" t="s">
        <v>132</v>
      </c>
      <c r="I39" s="9" t="s">
        <v>133</v>
      </c>
      <c r="J39" s="9" t="s">
        <v>134</v>
      </c>
      <c r="K39" s="9" t="s">
        <v>101</v>
      </c>
      <c r="L39" s="9" t="s">
        <v>135</v>
      </c>
      <c r="M39" s="9" t="s">
        <v>136</v>
      </c>
      <c r="N39" s="8">
        <v>20</v>
      </c>
      <c r="O39" s="8" t="s">
        <v>80</v>
      </c>
      <c r="P39" s="9" t="s">
        <v>137</v>
      </c>
      <c r="Q39" s="8" t="s">
        <v>30</v>
      </c>
      <c r="R39" s="8">
        <f>MONTH(Tabela1[[#This Row],[Data]])</f>
        <v>1</v>
      </c>
    </row>
    <row r="40" spans="1:18" ht="28" x14ac:dyDescent="0.35">
      <c r="A40" s="14">
        <v>46036</v>
      </c>
      <c r="B40" s="8" t="s">
        <v>138</v>
      </c>
      <c r="C40" s="9" t="s">
        <v>169</v>
      </c>
      <c r="D40" s="9" t="s">
        <v>19</v>
      </c>
      <c r="E40" s="9" t="s">
        <v>170</v>
      </c>
      <c r="F40" s="9" t="s">
        <v>21</v>
      </c>
      <c r="G40" s="8" t="s">
        <v>114</v>
      </c>
      <c r="H40" s="9" t="s">
        <v>37</v>
      </c>
      <c r="I40" s="9" t="s">
        <v>139</v>
      </c>
      <c r="J40" s="9" t="s">
        <v>140</v>
      </c>
      <c r="K40" s="9" t="s">
        <v>141</v>
      </c>
      <c r="L40" s="9" t="s">
        <v>41</v>
      </c>
      <c r="M40" s="9" t="s">
        <v>142</v>
      </c>
      <c r="N40" s="8">
        <v>35</v>
      </c>
      <c r="O40" s="8" t="s">
        <v>28</v>
      </c>
      <c r="P40" s="9" t="s">
        <v>143</v>
      </c>
      <c r="Q40" s="8" t="s">
        <v>30</v>
      </c>
      <c r="R40" s="8">
        <f>MONTH(Tabela1[[#This Row],[Data]])</f>
        <v>1</v>
      </c>
    </row>
    <row r="41" spans="1:18" ht="42" x14ac:dyDescent="0.35">
      <c r="A41" s="14">
        <v>46036</v>
      </c>
      <c r="B41" s="8" t="s">
        <v>138</v>
      </c>
      <c r="C41" s="9" t="s">
        <v>169</v>
      </c>
      <c r="D41" s="9" t="s">
        <v>19</v>
      </c>
      <c r="E41" s="9" t="s">
        <v>170</v>
      </c>
      <c r="F41" s="9" t="s">
        <v>21</v>
      </c>
      <c r="G41" s="8" t="s">
        <v>114</v>
      </c>
      <c r="H41" s="9" t="s">
        <v>75</v>
      </c>
      <c r="I41" s="9" t="s">
        <v>144</v>
      </c>
      <c r="J41" s="9" t="s">
        <v>145</v>
      </c>
      <c r="K41" s="9" t="s">
        <v>47</v>
      </c>
      <c r="L41" s="9" t="s">
        <v>26</v>
      </c>
      <c r="M41" s="9" t="s">
        <v>146</v>
      </c>
      <c r="N41" s="8">
        <v>30</v>
      </c>
      <c r="O41" s="8" t="s">
        <v>28</v>
      </c>
      <c r="P41" s="9" t="s">
        <v>147</v>
      </c>
      <c r="Q41" s="8" t="s">
        <v>30</v>
      </c>
      <c r="R41" s="8">
        <f>MONTH(Tabela1[[#This Row],[Data]])</f>
        <v>1</v>
      </c>
    </row>
    <row r="42" spans="1:18" ht="42" x14ac:dyDescent="0.35">
      <c r="A42" s="14">
        <v>46036</v>
      </c>
      <c r="B42" s="8" t="s">
        <v>138</v>
      </c>
      <c r="C42" s="9" t="s">
        <v>169</v>
      </c>
      <c r="D42" s="9" t="s">
        <v>19</v>
      </c>
      <c r="E42" s="9" t="s">
        <v>170</v>
      </c>
      <c r="F42" s="9" t="s">
        <v>21</v>
      </c>
      <c r="G42" s="8" t="s">
        <v>114</v>
      </c>
      <c r="H42" s="9" t="s">
        <v>44</v>
      </c>
      <c r="I42" s="9" t="s">
        <v>183</v>
      </c>
      <c r="J42" s="9" t="s">
        <v>184</v>
      </c>
      <c r="K42" s="9" t="s">
        <v>47</v>
      </c>
      <c r="L42" s="9" t="s">
        <v>185</v>
      </c>
      <c r="M42" s="9" t="s">
        <v>186</v>
      </c>
      <c r="N42" s="8">
        <v>25</v>
      </c>
      <c r="O42" s="8" t="s">
        <v>28</v>
      </c>
      <c r="P42" s="9" t="s">
        <v>187</v>
      </c>
      <c r="Q42" s="8" t="s">
        <v>30</v>
      </c>
      <c r="R42" s="8">
        <f>MONTH(Tabela1[[#This Row],[Data]])</f>
        <v>1</v>
      </c>
    </row>
    <row r="43" spans="1:18" ht="42" hidden="1" x14ac:dyDescent="0.35">
      <c r="A43" s="14">
        <v>46037</v>
      </c>
      <c r="B43" s="8" t="s">
        <v>17</v>
      </c>
      <c r="C43" s="9" t="s">
        <v>169</v>
      </c>
      <c r="D43" s="9" t="s">
        <v>19</v>
      </c>
      <c r="E43" s="9" t="s">
        <v>170</v>
      </c>
      <c r="F43" s="9" t="s">
        <v>21</v>
      </c>
      <c r="G43" s="8" t="s">
        <v>121</v>
      </c>
      <c r="H43" s="9" t="s">
        <v>132</v>
      </c>
      <c r="I43" s="9" t="s">
        <v>148</v>
      </c>
      <c r="J43" s="9" t="s">
        <v>149</v>
      </c>
      <c r="K43" s="9" t="s">
        <v>150</v>
      </c>
      <c r="L43" s="9" t="s">
        <v>151</v>
      </c>
      <c r="M43" s="9" t="s">
        <v>152</v>
      </c>
      <c r="N43" s="8">
        <v>40</v>
      </c>
      <c r="O43" s="8" t="s">
        <v>28</v>
      </c>
      <c r="P43" s="9" t="s">
        <v>153</v>
      </c>
      <c r="Q43" s="8" t="s">
        <v>30</v>
      </c>
      <c r="R43" s="8">
        <f>MONTH(Tabela1[[#This Row],[Data]])</f>
        <v>1</v>
      </c>
    </row>
    <row r="44" spans="1:18" ht="42" hidden="1" x14ac:dyDescent="0.35">
      <c r="A44" s="14">
        <v>46037</v>
      </c>
      <c r="B44" s="8" t="s">
        <v>17</v>
      </c>
      <c r="C44" s="9" t="s">
        <v>169</v>
      </c>
      <c r="D44" s="9" t="s">
        <v>19</v>
      </c>
      <c r="E44" s="9" t="s">
        <v>170</v>
      </c>
      <c r="F44" s="9" t="s">
        <v>21</v>
      </c>
      <c r="G44" s="8" t="s">
        <v>121</v>
      </c>
      <c r="H44" s="9" t="s">
        <v>44</v>
      </c>
      <c r="I44" s="9" t="s">
        <v>154</v>
      </c>
      <c r="J44" s="9" t="s">
        <v>155</v>
      </c>
      <c r="K44" s="9" t="s">
        <v>47</v>
      </c>
      <c r="L44" s="9" t="s">
        <v>41</v>
      </c>
      <c r="M44" s="9" t="s">
        <v>156</v>
      </c>
      <c r="N44" s="8">
        <v>25</v>
      </c>
      <c r="O44" s="8" t="s">
        <v>80</v>
      </c>
      <c r="P44" s="9" t="s">
        <v>157</v>
      </c>
      <c r="Q44" s="8" t="s">
        <v>30</v>
      </c>
      <c r="R44" s="8">
        <f>MONTH(Tabela1[[#This Row],[Data]])</f>
        <v>1</v>
      </c>
    </row>
    <row r="45" spans="1:18" ht="42" hidden="1" x14ac:dyDescent="0.35">
      <c r="A45" s="14">
        <v>46038</v>
      </c>
      <c r="B45" s="8" t="s">
        <v>36</v>
      </c>
      <c r="C45" s="9" t="s">
        <v>169</v>
      </c>
      <c r="D45" s="9" t="s">
        <v>19</v>
      </c>
      <c r="E45" s="9" t="s">
        <v>170</v>
      </c>
      <c r="F45" s="9" t="s">
        <v>21</v>
      </c>
      <c r="G45" s="8" t="s">
        <v>114</v>
      </c>
      <c r="H45" s="9" t="s">
        <v>158</v>
      </c>
      <c r="I45" s="9" t="s">
        <v>159</v>
      </c>
      <c r="J45" s="9" t="s">
        <v>160</v>
      </c>
      <c r="K45" s="9" t="s">
        <v>161</v>
      </c>
      <c r="L45" s="9" t="s">
        <v>41</v>
      </c>
      <c r="M45" s="9" t="s">
        <v>162</v>
      </c>
      <c r="N45" s="8">
        <v>50</v>
      </c>
      <c r="O45" s="8" t="s">
        <v>28</v>
      </c>
      <c r="P45" s="9" t="s">
        <v>163</v>
      </c>
      <c r="Q45" s="8" t="s">
        <v>30</v>
      </c>
      <c r="R45" s="8">
        <f>MONTH(Tabela1[[#This Row],[Data]])</f>
        <v>1</v>
      </c>
    </row>
    <row r="46" spans="1:18" ht="42" hidden="1" x14ac:dyDescent="0.35">
      <c r="A46" s="14">
        <v>46038</v>
      </c>
      <c r="B46" s="8" t="s">
        <v>36</v>
      </c>
      <c r="C46" s="9" t="s">
        <v>169</v>
      </c>
      <c r="D46" s="9" t="s">
        <v>19</v>
      </c>
      <c r="E46" s="9" t="s">
        <v>170</v>
      </c>
      <c r="F46" s="9" t="s">
        <v>21</v>
      </c>
      <c r="G46" s="8" t="s">
        <v>114</v>
      </c>
      <c r="H46" s="9" t="s">
        <v>188</v>
      </c>
      <c r="I46" s="9" t="s">
        <v>189</v>
      </c>
      <c r="J46" s="9" t="s">
        <v>190</v>
      </c>
      <c r="K46" s="9" t="s">
        <v>191</v>
      </c>
      <c r="L46" s="9" t="s">
        <v>192</v>
      </c>
      <c r="M46" s="9" t="s">
        <v>193</v>
      </c>
      <c r="N46" s="8">
        <v>35</v>
      </c>
      <c r="O46" s="8" t="s">
        <v>28</v>
      </c>
      <c r="P46" s="9" t="s">
        <v>194</v>
      </c>
      <c r="Q46" s="8" t="s">
        <v>30</v>
      </c>
      <c r="R46" s="8">
        <f>MONTH(Tabela1[[#This Row],[Data]])</f>
        <v>1</v>
      </c>
    </row>
    <row r="47" spans="1:18" ht="28" hidden="1" x14ac:dyDescent="0.35">
      <c r="A47" s="14">
        <v>46038</v>
      </c>
      <c r="B47" s="8" t="s">
        <v>36</v>
      </c>
      <c r="C47" s="9" t="s">
        <v>169</v>
      </c>
      <c r="D47" s="9" t="s">
        <v>19</v>
      </c>
      <c r="E47" s="9" t="s">
        <v>170</v>
      </c>
      <c r="F47" s="9" t="s">
        <v>21</v>
      </c>
      <c r="G47" s="8" t="s">
        <v>121</v>
      </c>
      <c r="H47" s="9" t="s">
        <v>164</v>
      </c>
      <c r="I47" s="9" t="s">
        <v>165</v>
      </c>
      <c r="J47" s="9" t="s">
        <v>166</v>
      </c>
      <c r="K47" s="9" t="s">
        <v>23</v>
      </c>
      <c r="L47" s="9" t="s">
        <v>26</v>
      </c>
      <c r="M47" s="9" t="s">
        <v>167</v>
      </c>
      <c r="N47" s="8">
        <v>20</v>
      </c>
      <c r="O47" s="8" t="s">
        <v>80</v>
      </c>
      <c r="P47" s="9" t="s">
        <v>168</v>
      </c>
      <c r="Q47" s="8" t="s">
        <v>30</v>
      </c>
      <c r="R47" s="8">
        <f>MONTH(Tabela1[[#This Row],[Data]])</f>
        <v>1</v>
      </c>
    </row>
    <row r="48" spans="1:18" ht="42" hidden="1" x14ac:dyDescent="0.35">
      <c r="A48" s="16">
        <v>45674</v>
      </c>
      <c r="B48" s="8" t="s">
        <v>368</v>
      </c>
      <c r="C48" s="9" t="s">
        <v>169</v>
      </c>
      <c r="D48" s="9" t="s">
        <v>52</v>
      </c>
      <c r="E48" s="9" t="s">
        <v>369</v>
      </c>
      <c r="F48" s="9"/>
      <c r="G48" s="8"/>
      <c r="H48" s="9"/>
      <c r="I48" s="9"/>
      <c r="J48" s="9"/>
      <c r="K48" s="9"/>
      <c r="L48" s="9"/>
      <c r="M48" s="9"/>
      <c r="N48" s="8"/>
      <c r="O48" s="8"/>
      <c r="P48" s="9"/>
      <c r="Q48" s="11"/>
      <c r="R48" s="11">
        <f>MONTH(Tabela1[[#This Row],[Data]])</f>
        <v>1</v>
      </c>
    </row>
    <row r="49" spans="1:18" ht="42" hidden="1" x14ac:dyDescent="0.35">
      <c r="A49" s="14">
        <v>46039</v>
      </c>
      <c r="B49" s="8" t="s">
        <v>50</v>
      </c>
      <c r="C49" s="9" t="s">
        <v>195</v>
      </c>
      <c r="D49" s="9" t="s">
        <v>52</v>
      </c>
      <c r="E49" s="9" t="s">
        <v>196</v>
      </c>
      <c r="F49" s="9" t="s">
        <v>60</v>
      </c>
      <c r="G49" s="8" t="s">
        <v>61</v>
      </c>
      <c r="H49" s="9" t="s">
        <v>62</v>
      </c>
      <c r="I49" s="9" t="s">
        <v>63</v>
      </c>
      <c r="J49" s="9" t="s">
        <v>64</v>
      </c>
      <c r="K49" s="9" t="s">
        <v>65</v>
      </c>
      <c r="L49" s="9" t="s">
        <v>197</v>
      </c>
      <c r="M49" s="9" t="s">
        <v>198</v>
      </c>
      <c r="N49" s="8">
        <v>70</v>
      </c>
      <c r="O49" s="8" t="s">
        <v>28</v>
      </c>
      <c r="P49" s="9" t="s">
        <v>68</v>
      </c>
      <c r="Q49" s="8" t="s">
        <v>30</v>
      </c>
      <c r="R49" s="8">
        <f>MONTH(Tabela1[[#This Row],[Data]])</f>
        <v>1</v>
      </c>
    </row>
    <row r="50" spans="1:18" ht="42" hidden="1" x14ac:dyDescent="0.35">
      <c r="A50" s="14">
        <v>46039</v>
      </c>
      <c r="B50" s="8" t="s">
        <v>50</v>
      </c>
      <c r="C50" s="9" t="s">
        <v>195</v>
      </c>
      <c r="D50" s="9" t="s">
        <v>52</v>
      </c>
      <c r="E50" s="9" t="s">
        <v>196</v>
      </c>
      <c r="F50" s="9" t="s">
        <v>60</v>
      </c>
      <c r="G50" s="8" t="s">
        <v>61</v>
      </c>
      <c r="H50" s="9" t="s">
        <v>69</v>
      </c>
      <c r="I50" s="9" t="s">
        <v>70</v>
      </c>
      <c r="J50" s="9" t="s">
        <v>71</v>
      </c>
      <c r="K50" s="9" t="s">
        <v>72</v>
      </c>
      <c r="L50" s="9" t="s">
        <v>26</v>
      </c>
      <c r="M50" s="9" t="s">
        <v>73</v>
      </c>
      <c r="N50" s="8">
        <v>80</v>
      </c>
      <c r="O50" s="8" t="s">
        <v>28</v>
      </c>
      <c r="P50" s="9" t="s">
        <v>74</v>
      </c>
      <c r="Q50" s="8" t="s">
        <v>30</v>
      </c>
      <c r="R50" s="8">
        <f>MONTH(Tabela1[[#This Row],[Data]])</f>
        <v>1</v>
      </c>
    </row>
    <row r="51" spans="1:18" ht="42" hidden="1" x14ac:dyDescent="0.35">
      <c r="A51" s="14">
        <v>46039</v>
      </c>
      <c r="B51" s="8" t="s">
        <v>50</v>
      </c>
      <c r="C51" s="9" t="s">
        <v>195</v>
      </c>
      <c r="D51" s="9" t="s">
        <v>52</v>
      </c>
      <c r="E51" s="9" t="s">
        <v>196</v>
      </c>
      <c r="F51" s="9" t="s">
        <v>60</v>
      </c>
      <c r="G51" s="8" t="s">
        <v>61</v>
      </c>
      <c r="H51" s="9" t="s">
        <v>75</v>
      </c>
      <c r="I51" s="9" t="s">
        <v>76</v>
      </c>
      <c r="J51" s="9" t="s">
        <v>77</v>
      </c>
      <c r="K51" s="9" t="s">
        <v>78</v>
      </c>
      <c r="L51" s="9" t="s">
        <v>26</v>
      </c>
      <c r="M51" s="9" t="s">
        <v>79</v>
      </c>
      <c r="N51" s="8">
        <v>35</v>
      </c>
      <c r="O51" s="8" t="s">
        <v>80</v>
      </c>
      <c r="P51" s="9" t="s">
        <v>81</v>
      </c>
      <c r="Q51" s="8" t="s">
        <v>30</v>
      </c>
      <c r="R51" s="8">
        <f>MONTH(Tabela1[[#This Row],[Data]])</f>
        <v>1</v>
      </c>
    </row>
    <row r="52" spans="1:18" ht="42" hidden="1" x14ac:dyDescent="0.35">
      <c r="A52" s="14">
        <v>46041</v>
      </c>
      <c r="B52" s="8" t="s">
        <v>83</v>
      </c>
      <c r="C52" s="9" t="s">
        <v>195</v>
      </c>
      <c r="D52" s="9" t="s">
        <v>84</v>
      </c>
      <c r="E52" s="9" t="s">
        <v>196</v>
      </c>
      <c r="F52" s="9" t="s">
        <v>85</v>
      </c>
      <c r="G52" s="8" t="s">
        <v>86</v>
      </c>
      <c r="H52" s="9" t="s">
        <v>87</v>
      </c>
      <c r="I52" s="9" t="s">
        <v>88</v>
      </c>
      <c r="J52" s="9" t="s">
        <v>89</v>
      </c>
      <c r="K52" s="9" t="s">
        <v>90</v>
      </c>
      <c r="L52" s="9" t="s">
        <v>91</v>
      </c>
      <c r="M52" s="9" t="s">
        <v>200</v>
      </c>
      <c r="N52" s="8">
        <v>150</v>
      </c>
      <c r="O52" s="8" t="s">
        <v>28</v>
      </c>
      <c r="P52" s="9" t="s">
        <v>93</v>
      </c>
      <c r="Q52" s="8" t="s">
        <v>30</v>
      </c>
      <c r="R52" s="8">
        <f>MONTH(Tabela1[[#This Row],[Data]])</f>
        <v>1</v>
      </c>
    </row>
    <row r="53" spans="1:18" ht="28" hidden="1" x14ac:dyDescent="0.35">
      <c r="A53" s="14">
        <v>46041</v>
      </c>
      <c r="B53" s="8" t="s">
        <v>83</v>
      </c>
      <c r="C53" s="9" t="s">
        <v>195</v>
      </c>
      <c r="D53" s="9" t="s">
        <v>84</v>
      </c>
      <c r="E53" s="9" t="s">
        <v>196</v>
      </c>
      <c r="F53" s="9" t="s">
        <v>85</v>
      </c>
      <c r="G53" s="8" t="s">
        <v>86</v>
      </c>
      <c r="H53" s="9" t="s">
        <v>94</v>
      </c>
      <c r="I53" s="9" t="s">
        <v>95</v>
      </c>
      <c r="J53" s="9" t="s">
        <v>96</v>
      </c>
      <c r="K53" s="9" t="s">
        <v>97</v>
      </c>
      <c r="L53" s="9" t="s">
        <v>98</v>
      </c>
      <c r="M53" s="9" t="s">
        <v>99</v>
      </c>
      <c r="N53" s="8">
        <v>60</v>
      </c>
      <c r="O53" s="8" t="s">
        <v>28</v>
      </c>
      <c r="P53" s="9" t="s">
        <v>100</v>
      </c>
      <c r="Q53" s="8" t="s">
        <v>30</v>
      </c>
      <c r="R53" s="8">
        <f>MONTH(Tabela1[[#This Row],[Data]])</f>
        <v>1</v>
      </c>
    </row>
    <row r="54" spans="1:18" ht="56" hidden="1" x14ac:dyDescent="0.35">
      <c r="A54" s="14">
        <v>46041</v>
      </c>
      <c r="B54" s="8" t="s">
        <v>83</v>
      </c>
      <c r="C54" s="9" t="s">
        <v>195</v>
      </c>
      <c r="D54" s="9" t="s">
        <v>84</v>
      </c>
      <c r="E54" s="9" t="s">
        <v>196</v>
      </c>
      <c r="F54" s="9" t="s">
        <v>85</v>
      </c>
      <c r="G54" s="8" t="s">
        <v>86</v>
      </c>
      <c r="H54" s="9" t="s">
        <v>101</v>
      </c>
      <c r="I54" s="9" t="s">
        <v>102</v>
      </c>
      <c r="J54" s="9" t="s">
        <v>103</v>
      </c>
      <c r="K54" s="9" t="s">
        <v>101</v>
      </c>
      <c r="L54" s="9" t="s">
        <v>104</v>
      </c>
      <c r="M54" s="9" t="s">
        <v>105</v>
      </c>
      <c r="N54" s="8">
        <v>60</v>
      </c>
      <c r="O54" s="8" t="s">
        <v>28</v>
      </c>
      <c r="P54" s="9" t="s">
        <v>106</v>
      </c>
      <c r="Q54" s="8" t="s">
        <v>30</v>
      </c>
      <c r="R54" s="8">
        <f>MONTH(Tabela1[[#This Row],[Data]])</f>
        <v>1</v>
      </c>
    </row>
    <row r="55" spans="1:18" ht="28" hidden="1" x14ac:dyDescent="0.35">
      <c r="A55" s="14">
        <v>46041</v>
      </c>
      <c r="B55" s="8" t="s">
        <v>83</v>
      </c>
      <c r="C55" s="9" t="s">
        <v>195</v>
      </c>
      <c r="D55" s="9" t="s">
        <v>84</v>
      </c>
      <c r="E55" s="9" t="s">
        <v>196</v>
      </c>
      <c r="F55" s="9" t="s">
        <v>85</v>
      </c>
      <c r="G55" s="8" t="s">
        <v>86</v>
      </c>
      <c r="H55" s="9" t="s">
        <v>107</v>
      </c>
      <c r="I55" s="9" t="s">
        <v>108</v>
      </c>
      <c r="J55" s="9" t="s">
        <v>109</v>
      </c>
      <c r="K55" s="9" t="s">
        <v>110</v>
      </c>
      <c r="L55" s="9" t="s">
        <v>111</v>
      </c>
      <c r="M55" s="9" t="s">
        <v>112</v>
      </c>
      <c r="N55" s="8">
        <v>90</v>
      </c>
      <c r="O55" s="8" t="s">
        <v>28</v>
      </c>
      <c r="P55" s="9" t="s">
        <v>113</v>
      </c>
      <c r="Q55" s="8" t="s">
        <v>30</v>
      </c>
      <c r="R55" s="8">
        <f>MONTH(Tabela1[[#This Row],[Data]])</f>
        <v>1</v>
      </c>
    </row>
    <row r="56" spans="1:18" ht="42" hidden="1" x14ac:dyDescent="0.35">
      <c r="A56" s="14">
        <v>46041</v>
      </c>
      <c r="B56" s="8" t="s">
        <v>83</v>
      </c>
      <c r="C56" s="9" t="s">
        <v>195</v>
      </c>
      <c r="D56" s="9" t="s">
        <v>84</v>
      </c>
      <c r="E56" s="9" t="s">
        <v>196</v>
      </c>
      <c r="F56" s="9" t="s">
        <v>21</v>
      </c>
      <c r="G56" s="8" t="s">
        <v>114</v>
      </c>
      <c r="H56" s="9" t="s">
        <v>175</v>
      </c>
      <c r="I56" s="9" t="s">
        <v>176</v>
      </c>
      <c r="J56" s="9" t="s">
        <v>177</v>
      </c>
      <c r="K56" s="9" t="s">
        <v>178</v>
      </c>
      <c r="L56" s="9" t="s">
        <v>179</v>
      </c>
      <c r="M56" s="9" t="s">
        <v>180</v>
      </c>
      <c r="N56" s="8">
        <v>35</v>
      </c>
      <c r="O56" s="8" t="s">
        <v>28</v>
      </c>
      <c r="P56" s="9" t="s">
        <v>181</v>
      </c>
      <c r="Q56" s="8" t="s">
        <v>30</v>
      </c>
      <c r="R56" s="8">
        <f>MONTH(Tabela1[[#This Row],[Data]])</f>
        <v>1</v>
      </c>
    </row>
    <row r="57" spans="1:18" ht="42" hidden="1" x14ac:dyDescent="0.35">
      <c r="A57" s="14">
        <v>46042</v>
      </c>
      <c r="B57" s="8" t="s">
        <v>120</v>
      </c>
      <c r="C57" s="9" t="s">
        <v>195</v>
      </c>
      <c r="D57" s="9" t="s">
        <v>19</v>
      </c>
      <c r="E57" s="9" t="s">
        <v>196</v>
      </c>
      <c r="F57" s="9" t="s">
        <v>21</v>
      </c>
      <c r="G57" s="8" t="s">
        <v>121</v>
      </c>
      <c r="H57" s="9" t="s">
        <v>44</v>
      </c>
      <c r="I57" s="9" t="s">
        <v>122</v>
      </c>
      <c r="J57" s="9" t="s">
        <v>123</v>
      </c>
      <c r="K57" s="9" t="s">
        <v>47</v>
      </c>
      <c r="L57" s="9" t="s">
        <v>124</v>
      </c>
      <c r="M57" s="9" t="s">
        <v>125</v>
      </c>
      <c r="N57" s="8">
        <v>30</v>
      </c>
      <c r="O57" s="8" t="s">
        <v>28</v>
      </c>
      <c r="P57" s="9" t="s">
        <v>126</v>
      </c>
      <c r="Q57" s="8" t="s">
        <v>30</v>
      </c>
      <c r="R57" s="8">
        <f>MONTH(Tabela1[[#This Row],[Data]])</f>
        <v>1</v>
      </c>
    </row>
    <row r="58" spans="1:18" ht="42" hidden="1" x14ac:dyDescent="0.35">
      <c r="A58" s="14">
        <v>46042</v>
      </c>
      <c r="B58" s="8" t="s">
        <v>120</v>
      </c>
      <c r="C58" s="9" t="s">
        <v>195</v>
      </c>
      <c r="D58" s="9" t="s">
        <v>19</v>
      </c>
      <c r="E58" s="9" t="s">
        <v>196</v>
      </c>
      <c r="F58" s="9" t="s">
        <v>21</v>
      </c>
      <c r="G58" s="8" t="s">
        <v>114</v>
      </c>
      <c r="H58" s="9" t="s">
        <v>44</v>
      </c>
      <c r="I58" s="9" t="s">
        <v>127</v>
      </c>
      <c r="J58" s="9" t="s">
        <v>128</v>
      </c>
      <c r="K58" s="9" t="s">
        <v>47</v>
      </c>
      <c r="L58" s="9" t="s">
        <v>129</v>
      </c>
      <c r="M58" s="9" t="s">
        <v>201</v>
      </c>
      <c r="N58" s="8">
        <v>30</v>
      </c>
      <c r="O58" s="8" t="s">
        <v>28</v>
      </c>
      <c r="P58" s="9" t="s">
        <v>131</v>
      </c>
      <c r="Q58" s="8" t="s">
        <v>30</v>
      </c>
      <c r="R58" s="8">
        <f>MONTH(Tabela1[[#This Row],[Data]])</f>
        <v>1</v>
      </c>
    </row>
    <row r="59" spans="1:18" ht="28" hidden="1" x14ac:dyDescent="0.35">
      <c r="A59" s="14">
        <v>46042</v>
      </c>
      <c r="B59" s="8" t="s">
        <v>120</v>
      </c>
      <c r="C59" s="9" t="s">
        <v>195</v>
      </c>
      <c r="D59" s="9" t="s">
        <v>19</v>
      </c>
      <c r="E59" s="9" t="s">
        <v>196</v>
      </c>
      <c r="F59" s="9" t="s">
        <v>21</v>
      </c>
      <c r="G59" s="8" t="s">
        <v>121</v>
      </c>
      <c r="H59" s="9" t="s">
        <v>132</v>
      </c>
      <c r="I59" s="9" t="s">
        <v>133</v>
      </c>
      <c r="J59" s="9" t="s">
        <v>134</v>
      </c>
      <c r="K59" s="9" t="s">
        <v>101</v>
      </c>
      <c r="L59" s="9" t="s">
        <v>135</v>
      </c>
      <c r="M59" s="9" t="s">
        <v>136</v>
      </c>
      <c r="N59" s="8">
        <v>20</v>
      </c>
      <c r="O59" s="8" t="s">
        <v>80</v>
      </c>
      <c r="P59" s="9" t="s">
        <v>137</v>
      </c>
      <c r="Q59" s="8" t="s">
        <v>30</v>
      </c>
      <c r="R59" s="8">
        <f>MONTH(Tabela1[[#This Row],[Data]])</f>
        <v>1</v>
      </c>
    </row>
    <row r="60" spans="1:18" ht="28" hidden="1" x14ac:dyDescent="0.35">
      <c r="A60" s="14">
        <v>46043</v>
      </c>
      <c r="B60" s="8" t="s">
        <v>138</v>
      </c>
      <c r="C60" s="9" t="s">
        <v>195</v>
      </c>
      <c r="D60" s="9" t="s">
        <v>19</v>
      </c>
      <c r="E60" s="9" t="s">
        <v>196</v>
      </c>
      <c r="F60" s="9" t="s">
        <v>21</v>
      </c>
      <c r="G60" s="8" t="s">
        <v>114</v>
      </c>
      <c r="H60" s="9" t="s">
        <v>37</v>
      </c>
      <c r="I60" s="9" t="s">
        <v>139</v>
      </c>
      <c r="J60" s="9" t="s">
        <v>140</v>
      </c>
      <c r="K60" s="9" t="s">
        <v>141</v>
      </c>
      <c r="L60" s="9" t="s">
        <v>41</v>
      </c>
      <c r="M60" s="9" t="s">
        <v>142</v>
      </c>
      <c r="N60" s="8">
        <v>35</v>
      </c>
      <c r="O60" s="8" t="s">
        <v>28</v>
      </c>
      <c r="P60" s="9" t="s">
        <v>143</v>
      </c>
      <c r="Q60" s="8" t="s">
        <v>30</v>
      </c>
      <c r="R60" s="8">
        <f>MONTH(Tabela1[[#This Row],[Data]])</f>
        <v>1</v>
      </c>
    </row>
    <row r="61" spans="1:18" ht="42" hidden="1" x14ac:dyDescent="0.35">
      <c r="A61" s="14">
        <v>46043</v>
      </c>
      <c r="B61" s="8" t="s">
        <v>138</v>
      </c>
      <c r="C61" s="9" t="s">
        <v>195</v>
      </c>
      <c r="D61" s="9" t="s">
        <v>19</v>
      </c>
      <c r="E61" s="9" t="s">
        <v>196</v>
      </c>
      <c r="F61" s="9" t="s">
        <v>21</v>
      </c>
      <c r="G61" s="8" t="s">
        <v>114</v>
      </c>
      <c r="H61" s="9" t="s">
        <v>75</v>
      </c>
      <c r="I61" s="9" t="s">
        <v>144</v>
      </c>
      <c r="J61" s="9" t="s">
        <v>145</v>
      </c>
      <c r="K61" s="9" t="s">
        <v>47</v>
      </c>
      <c r="L61" s="9" t="s">
        <v>26</v>
      </c>
      <c r="M61" s="9" t="s">
        <v>146</v>
      </c>
      <c r="N61" s="8">
        <v>30</v>
      </c>
      <c r="O61" s="8" t="s">
        <v>28</v>
      </c>
      <c r="P61" s="9" t="s">
        <v>147</v>
      </c>
      <c r="Q61" s="8" t="s">
        <v>30</v>
      </c>
      <c r="R61" s="8">
        <f>MONTH(Tabela1[[#This Row],[Data]])</f>
        <v>1</v>
      </c>
    </row>
    <row r="62" spans="1:18" ht="42" hidden="1" x14ac:dyDescent="0.35">
      <c r="A62" s="14">
        <v>46043</v>
      </c>
      <c r="B62" s="8" t="s">
        <v>138</v>
      </c>
      <c r="C62" s="9" t="s">
        <v>195</v>
      </c>
      <c r="D62" s="9" t="s">
        <v>19</v>
      </c>
      <c r="E62" s="9" t="s">
        <v>196</v>
      </c>
      <c r="F62" s="9" t="s">
        <v>21</v>
      </c>
      <c r="G62" s="8" t="s">
        <v>114</v>
      </c>
      <c r="H62" s="9" t="s">
        <v>44</v>
      </c>
      <c r="I62" s="9" t="s">
        <v>183</v>
      </c>
      <c r="J62" s="9" t="s">
        <v>184</v>
      </c>
      <c r="K62" s="9" t="s">
        <v>47</v>
      </c>
      <c r="L62" s="9" t="s">
        <v>185</v>
      </c>
      <c r="M62" s="9" t="s">
        <v>186</v>
      </c>
      <c r="N62" s="8">
        <v>25</v>
      </c>
      <c r="O62" s="8" t="s">
        <v>28</v>
      </c>
      <c r="P62" s="9" t="s">
        <v>187</v>
      </c>
      <c r="Q62" s="8" t="s">
        <v>30</v>
      </c>
      <c r="R62" s="8">
        <f>MONTH(Tabela1[[#This Row],[Data]])</f>
        <v>1</v>
      </c>
    </row>
    <row r="63" spans="1:18" ht="42" hidden="1" x14ac:dyDescent="0.35">
      <c r="A63" s="14">
        <v>46044</v>
      </c>
      <c r="B63" s="8" t="s">
        <v>17</v>
      </c>
      <c r="C63" s="9" t="s">
        <v>195</v>
      </c>
      <c r="D63" s="9" t="s">
        <v>19</v>
      </c>
      <c r="E63" s="9" t="s">
        <v>196</v>
      </c>
      <c r="F63" s="9" t="s">
        <v>21</v>
      </c>
      <c r="G63" s="8" t="s">
        <v>121</v>
      </c>
      <c r="H63" s="9" t="s">
        <v>132</v>
      </c>
      <c r="I63" s="9" t="s">
        <v>148</v>
      </c>
      <c r="J63" s="9" t="s">
        <v>149</v>
      </c>
      <c r="K63" s="9" t="s">
        <v>150</v>
      </c>
      <c r="L63" s="9" t="s">
        <v>151</v>
      </c>
      <c r="M63" s="9" t="s">
        <v>152</v>
      </c>
      <c r="N63" s="8">
        <v>40</v>
      </c>
      <c r="O63" s="8" t="s">
        <v>28</v>
      </c>
      <c r="P63" s="9" t="s">
        <v>153</v>
      </c>
      <c r="Q63" s="8" t="s">
        <v>30</v>
      </c>
      <c r="R63" s="8">
        <f>MONTH(Tabela1[[#This Row],[Data]])</f>
        <v>1</v>
      </c>
    </row>
    <row r="64" spans="1:18" ht="42" hidden="1" x14ac:dyDescent="0.35">
      <c r="A64" s="14">
        <v>46044</v>
      </c>
      <c r="B64" s="8" t="s">
        <v>17</v>
      </c>
      <c r="C64" s="9" t="s">
        <v>195</v>
      </c>
      <c r="D64" s="9" t="s">
        <v>19</v>
      </c>
      <c r="E64" s="9" t="s">
        <v>196</v>
      </c>
      <c r="F64" s="9" t="s">
        <v>21</v>
      </c>
      <c r="G64" s="8" t="s">
        <v>121</v>
      </c>
      <c r="H64" s="9" t="s">
        <v>44</v>
      </c>
      <c r="I64" s="9" t="s">
        <v>154</v>
      </c>
      <c r="J64" s="9" t="s">
        <v>155</v>
      </c>
      <c r="K64" s="9" t="s">
        <v>47</v>
      </c>
      <c r="L64" s="9" t="s">
        <v>41</v>
      </c>
      <c r="M64" s="9" t="s">
        <v>156</v>
      </c>
      <c r="N64" s="8">
        <v>25</v>
      </c>
      <c r="O64" s="8" t="s">
        <v>80</v>
      </c>
      <c r="P64" s="9" t="s">
        <v>157</v>
      </c>
      <c r="Q64" s="8" t="s">
        <v>30</v>
      </c>
      <c r="R64" s="8">
        <f>MONTH(Tabela1[[#This Row],[Data]])</f>
        <v>1</v>
      </c>
    </row>
    <row r="65" spans="1:18" ht="42" hidden="1" x14ac:dyDescent="0.35">
      <c r="A65" s="14">
        <v>46045</v>
      </c>
      <c r="B65" s="8" t="s">
        <v>36</v>
      </c>
      <c r="C65" s="9" t="s">
        <v>195</v>
      </c>
      <c r="D65" s="9" t="s">
        <v>19</v>
      </c>
      <c r="E65" s="9" t="s">
        <v>196</v>
      </c>
      <c r="F65" s="9" t="s">
        <v>21</v>
      </c>
      <c r="G65" s="8" t="s">
        <v>114</v>
      </c>
      <c r="H65" s="9" t="s">
        <v>158</v>
      </c>
      <c r="I65" s="9" t="s">
        <v>159</v>
      </c>
      <c r="J65" s="9" t="s">
        <v>160</v>
      </c>
      <c r="K65" s="9" t="s">
        <v>161</v>
      </c>
      <c r="L65" s="9" t="s">
        <v>41</v>
      </c>
      <c r="M65" s="9" t="s">
        <v>162</v>
      </c>
      <c r="N65" s="8">
        <v>50</v>
      </c>
      <c r="O65" s="8" t="s">
        <v>28</v>
      </c>
      <c r="P65" s="9" t="s">
        <v>163</v>
      </c>
      <c r="Q65" s="8" t="s">
        <v>30</v>
      </c>
      <c r="R65" s="8">
        <f>MONTH(Tabela1[[#This Row],[Data]])</f>
        <v>1</v>
      </c>
    </row>
    <row r="66" spans="1:18" ht="42" hidden="1" x14ac:dyDescent="0.35">
      <c r="A66" s="14">
        <v>46045</v>
      </c>
      <c r="B66" s="8" t="s">
        <v>36</v>
      </c>
      <c r="C66" s="9" t="s">
        <v>195</v>
      </c>
      <c r="D66" s="9" t="s">
        <v>19</v>
      </c>
      <c r="E66" s="9" t="s">
        <v>196</v>
      </c>
      <c r="F66" s="9" t="s">
        <v>21</v>
      </c>
      <c r="G66" s="8" t="s">
        <v>114</v>
      </c>
      <c r="H66" s="9" t="s">
        <v>188</v>
      </c>
      <c r="I66" s="9" t="s">
        <v>189</v>
      </c>
      <c r="J66" s="9" t="s">
        <v>190</v>
      </c>
      <c r="K66" s="9" t="s">
        <v>191</v>
      </c>
      <c r="L66" s="9" t="s">
        <v>192</v>
      </c>
      <c r="M66" s="9" t="s">
        <v>193</v>
      </c>
      <c r="N66" s="8">
        <v>35</v>
      </c>
      <c r="O66" s="8" t="s">
        <v>28</v>
      </c>
      <c r="P66" s="9" t="s">
        <v>194</v>
      </c>
      <c r="Q66" s="8" t="s">
        <v>30</v>
      </c>
      <c r="R66" s="8">
        <f>MONTH(Tabela1[[#This Row],[Data]])</f>
        <v>1</v>
      </c>
    </row>
    <row r="67" spans="1:18" ht="28" hidden="1" x14ac:dyDescent="0.35">
      <c r="A67" s="14">
        <v>46045</v>
      </c>
      <c r="B67" s="8" t="s">
        <v>36</v>
      </c>
      <c r="C67" s="9" t="s">
        <v>195</v>
      </c>
      <c r="D67" s="9" t="s">
        <v>19</v>
      </c>
      <c r="E67" s="9" t="s">
        <v>196</v>
      </c>
      <c r="F67" s="9" t="s">
        <v>21</v>
      </c>
      <c r="G67" s="8" t="s">
        <v>121</v>
      </c>
      <c r="H67" s="9" t="s">
        <v>164</v>
      </c>
      <c r="I67" s="9" t="s">
        <v>165</v>
      </c>
      <c r="J67" s="9" t="s">
        <v>166</v>
      </c>
      <c r="K67" s="9" t="s">
        <v>23</v>
      </c>
      <c r="L67" s="9" t="s">
        <v>26</v>
      </c>
      <c r="M67" s="9" t="s">
        <v>167</v>
      </c>
      <c r="N67" s="8">
        <v>20</v>
      </c>
      <c r="O67" s="8" t="s">
        <v>80</v>
      </c>
      <c r="P67" s="9" t="s">
        <v>168</v>
      </c>
      <c r="Q67" s="8" t="s">
        <v>30</v>
      </c>
      <c r="R67" s="8">
        <f>MONTH(Tabela1[[#This Row],[Data]])</f>
        <v>1</v>
      </c>
    </row>
    <row r="68" spans="1:18" ht="42" hidden="1" x14ac:dyDescent="0.35">
      <c r="A68" s="14">
        <v>46046</v>
      </c>
      <c r="B68" s="8" t="s">
        <v>50</v>
      </c>
      <c r="C68" s="9" t="s">
        <v>202</v>
      </c>
      <c r="D68" s="9" t="s">
        <v>52</v>
      </c>
      <c r="E68" s="9" t="s">
        <v>203</v>
      </c>
      <c r="F68" s="9" t="s">
        <v>60</v>
      </c>
      <c r="G68" s="8" t="s">
        <v>61</v>
      </c>
      <c r="H68" s="9" t="s">
        <v>62</v>
      </c>
      <c r="I68" s="9" t="s">
        <v>63</v>
      </c>
      <c r="J68" s="9" t="s">
        <v>64</v>
      </c>
      <c r="K68" s="9" t="s">
        <v>65</v>
      </c>
      <c r="L68" s="9" t="s">
        <v>204</v>
      </c>
      <c r="M68" s="9" t="s">
        <v>205</v>
      </c>
      <c r="N68" s="8">
        <v>70</v>
      </c>
      <c r="O68" s="8" t="s">
        <v>28</v>
      </c>
      <c r="P68" s="9" t="s">
        <v>68</v>
      </c>
      <c r="Q68" s="8" t="s">
        <v>30</v>
      </c>
      <c r="R68" s="8">
        <f>MONTH(Tabela1[[#This Row],[Data]])</f>
        <v>1</v>
      </c>
    </row>
    <row r="69" spans="1:18" ht="42" hidden="1" x14ac:dyDescent="0.35">
      <c r="A69" s="14">
        <v>46046</v>
      </c>
      <c r="B69" s="8" t="s">
        <v>50</v>
      </c>
      <c r="C69" s="9" t="s">
        <v>202</v>
      </c>
      <c r="D69" s="9" t="s">
        <v>52</v>
      </c>
      <c r="E69" s="9" t="s">
        <v>203</v>
      </c>
      <c r="F69" s="9" t="s">
        <v>60</v>
      </c>
      <c r="G69" s="8" t="s">
        <v>61</v>
      </c>
      <c r="H69" s="9" t="s">
        <v>69</v>
      </c>
      <c r="I69" s="9" t="s">
        <v>70</v>
      </c>
      <c r="J69" s="9" t="s">
        <v>71</v>
      </c>
      <c r="K69" s="9" t="s">
        <v>72</v>
      </c>
      <c r="L69" s="9" t="s">
        <v>26</v>
      </c>
      <c r="M69" s="9" t="s">
        <v>73</v>
      </c>
      <c r="N69" s="8">
        <v>80</v>
      </c>
      <c r="O69" s="8" t="s">
        <v>28</v>
      </c>
      <c r="P69" s="9" t="s">
        <v>74</v>
      </c>
      <c r="Q69" s="8" t="s">
        <v>30</v>
      </c>
      <c r="R69" s="8">
        <f>MONTH(Tabela1[[#This Row],[Data]])</f>
        <v>1</v>
      </c>
    </row>
    <row r="70" spans="1:18" ht="42" hidden="1" x14ac:dyDescent="0.35">
      <c r="A70" s="14">
        <v>46046</v>
      </c>
      <c r="B70" s="8" t="s">
        <v>50</v>
      </c>
      <c r="C70" s="9" t="s">
        <v>202</v>
      </c>
      <c r="D70" s="9" t="s">
        <v>52</v>
      </c>
      <c r="E70" s="9" t="s">
        <v>203</v>
      </c>
      <c r="F70" s="9" t="s">
        <v>60</v>
      </c>
      <c r="G70" s="8" t="s">
        <v>61</v>
      </c>
      <c r="H70" s="9" t="s">
        <v>75</v>
      </c>
      <c r="I70" s="9" t="s">
        <v>76</v>
      </c>
      <c r="J70" s="9" t="s">
        <v>77</v>
      </c>
      <c r="K70" s="9" t="s">
        <v>78</v>
      </c>
      <c r="L70" s="9" t="s">
        <v>26</v>
      </c>
      <c r="M70" s="9" t="s">
        <v>79</v>
      </c>
      <c r="N70" s="8">
        <v>35</v>
      </c>
      <c r="O70" s="8" t="s">
        <v>80</v>
      </c>
      <c r="P70" s="9" t="s">
        <v>81</v>
      </c>
      <c r="Q70" s="8" t="s">
        <v>30</v>
      </c>
      <c r="R70" s="8">
        <f>MONTH(Tabela1[[#This Row],[Data]])</f>
        <v>1</v>
      </c>
    </row>
    <row r="71" spans="1:18" ht="56" hidden="1" x14ac:dyDescent="0.35">
      <c r="A71" s="14">
        <v>46048</v>
      </c>
      <c r="B71" s="8" t="s">
        <v>83</v>
      </c>
      <c r="C71" s="9" t="s">
        <v>202</v>
      </c>
      <c r="D71" s="9" t="s">
        <v>84</v>
      </c>
      <c r="E71" s="9" t="s">
        <v>203</v>
      </c>
      <c r="F71" s="9" t="s">
        <v>85</v>
      </c>
      <c r="G71" s="8" t="s">
        <v>86</v>
      </c>
      <c r="H71" s="9" t="s">
        <v>87</v>
      </c>
      <c r="I71" s="9" t="s">
        <v>88</v>
      </c>
      <c r="J71" s="9" t="s">
        <v>89</v>
      </c>
      <c r="K71" s="9" t="s">
        <v>90</v>
      </c>
      <c r="L71" s="9" t="s">
        <v>91</v>
      </c>
      <c r="M71" s="9" t="s">
        <v>207</v>
      </c>
      <c r="N71" s="8">
        <v>150</v>
      </c>
      <c r="O71" s="8" t="s">
        <v>28</v>
      </c>
      <c r="P71" s="9" t="s">
        <v>93</v>
      </c>
      <c r="Q71" s="8" t="s">
        <v>30</v>
      </c>
      <c r="R71" s="8">
        <f>MONTH(Tabela1[[#This Row],[Data]])</f>
        <v>1</v>
      </c>
    </row>
    <row r="72" spans="1:18" ht="28" hidden="1" x14ac:dyDescent="0.35">
      <c r="A72" s="14">
        <v>46048</v>
      </c>
      <c r="B72" s="8" t="s">
        <v>83</v>
      </c>
      <c r="C72" s="9" t="s">
        <v>202</v>
      </c>
      <c r="D72" s="9" t="s">
        <v>84</v>
      </c>
      <c r="E72" s="9" t="s">
        <v>203</v>
      </c>
      <c r="F72" s="9" t="s">
        <v>85</v>
      </c>
      <c r="G72" s="8" t="s">
        <v>86</v>
      </c>
      <c r="H72" s="9" t="s">
        <v>94</v>
      </c>
      <c r="I72" s="9" t="s">
        <v>95</v>
      </c>
      <c r="J72" s="9" t="s">
        <v>96</v>
      </c>
      <c r="K72" s="9" t="s">
        <v>97</v>
      </c>
      <c r="L72" s="9" t="s">
        <v>98</v>
      </c>
      <c r="M72" s="9" t="s">
        <v>99</v>
      </c>
      <c r="N72" s="8">
        <v>60</v>
      </c>
      <c r="O72" s="8" t="s">
        <v>28</v>
      </c>
      <c r="P72" s="9" t="s">
        <v>100</v>
      </c>
      <c r="Q72" s="8" t="s">
        <v>30</v>
      </c>
      <c r="R72" s="8">
        <f>MONTH(Tabela1[[#This Row],[Data]])</f>
        <v>1</v>
      </c>
    </row>
    <row r="73" spans="1:18" ht="56" hidden="1" x14ac:dyDescent="0.35">
      <c r="A73" s="14">
        <v>46048</v>
      </c>
      <c r="B73" s="8" t="s">
        <v>83</v>
      </c>
      <c r="C73" s="9" t="s">
        <v>202</v>
      </c>
      <c r="D73" s="9" t="s">
        <v>84</v>
      </c>
      <c r="E73" s="9" t="s">
        <v>203</v>
      </c>
      <c r="F73" s="9" t="s">
        <v>85</v>
      </c>
      <c r="G73" s="8" t="s">
        <v>86</v>
      </c>
      <c r="H73" s="9" t="s">
        <v>101</v>
      </c>
      <c r="I73" s="9" t="s">
        <v>102</v>
      </c>
      <c r="J73" s="9" t="s">
        <v>103</v>
      </c>
      <c r="K73" s="9" t="s">
        <v>101</v>
      </c>
      <c r="L73" s="9" t="s">
        <v>104</v>
      </c>
      <c r="M73" s="9" t="s">
        <v>105</v>
      </c>
      <c r="N73" s="8">
        <v>60</v>
      </c>
      <c r="O73" s="8" t="s">
        <v>28</v>
      </c>
      <c r="P73" s="9" t="s">
        <v>106</v>
      </c>
      <c r="Q73" s="8" t="s">
        <v>30</v>
      </c>
      <c r="R73" s="8">
        <f>MONTH(Tabela1[[#This Row],[Data]])</f>
        <v>1</v>
      </c>
    </row>
    <row r="74" spans="1:18" ht="28" hidden="1" x14ac:dyDescent="0.35">
      <c r="A74" s="14">
        <v>46048</v>
      </c>
      <c r="B74" s="8" t="s">
        <v>83</v>
      </c>
      <c r="C74" s="9" t="s">
        <v>202</v>
      </c>
      <c r="D74" s="9" t="s">
        <v>84</v>
      </c>
      <c r="E74" s="9" t="s">
        <v>203</v>
      </c>
      <c r="F74" s="9" t="s">
        <v>85</v>
      </c>
      <c r="G74" s="8" t="s">
        <v>86</v>
      </c>
      <c r="H74" s="9" t="s">
        <v>107</v>
      </c>
      <c r="I74" s="9" t="s">
        <v>108</v>
      </c>
      <c r="J74" s="9" t="s">
        <v>109</v>
      </c>
      <c r="K74" s="9" t="s">
        <v>110</v>
      </c>
      <c r="L74" s="9" t="s">
        <v>111</v>
      </c>
      <c r="M74" s="9" t="s">
        <v>112</v>
      </c>
      <c r="N74" s="8">
        <v>90</v>
      </c>
      <c r="O74" s="8" t="s">
        <v>28</v>
      </c>
      <c r="P74" s="9" t="s">
        <v>113</v>
      </c>
      <c r="Q74" s="8" t="s">
        <v>30</v>
      </c>
      <c r="R74" s="8">
        <f>MONTH(Tabela1[[#This Row],[Data]])</f>
        <v>1</v>
      </c>
    </row>
    <row r="75" spans="1:18" ht="42" hidden="1" x14ac:dyDescent="0.35">
      <c r="A75" s="14">
        <v>46048</v>
      </c>
      <c r="B75" s="8" t="s">
        <v>83</v>
      </c>
      <c r="C75" s="9" t="s">
        <v>202</v>
      </c>
      <c r="D75" s="9" t="s">
        <v>84</v>
      </c>
      <c r="E75" s="9" t="s">
        <v>203</v>
      </c>
      <c r="F75" s="9" t="s">
        <v>21</v>
      </c>
      <c r="G75" s="8" t="s">
        <v>114</v>
      </c>
      <c r="H75" s="9" t="s">
        <v>175</v>
      </c>
      <c r="I75" s="9" t="s">
        <v>176</v>
      </c>
      <c r="J75" s="9" t="s">
        <v>177</v>
      </c>
      <c r="K75" s="9" t="s">
        <v>178</v>
      </c>
      <c r="L75" s="9" t="s">
        <v>179</v>
      </c>
      <c r="M75" s="9" t="s">
        <v>180</v>
      </c>
      <c r="N75" s="8">
        <v>35</v>
      </c>
      <c r="O75" s="8" t="s">
        <v>28</v>
      </c>
      <c r="P75" s="9" t="s">
        <v>181</v>
      </c>
      <c r="Q75" s="8" t="s">
        <v>30</v>
      </c>
      <c r="R75" s="8">
        <f>MONTH(Tabela1[[#This Row],[Data]])</f>
        <v>1</v>
      </c>
    </row>
    <row r="76" spans="1:18" ht="42" hidden="1" x14ac:dyDescent="0.35">
      <c r="A76" s="14">
        <v>46049</v>
      </c>
      <c r="B76" s="8" t="s">
        <v>120</v>
      </c>
      <c r="C76" s="9" t="s">
        <v>202</v>
      </c>
      <c r="D76" s="9" t="s">
        <v>19</v>
      </c>
      <c r="E76" s="9" t="s">
        <v>203</v>
      </c>
      <c r="F76" s="9" t="s">
        <v>21</v>
      </c>
      <c r="G76" s="8" t="s">
        <v>121</v>
      </c>
      <c r="H76" s="9" t="s">
        <v>44</v>
      </c>
      <c r="I76" s="9" t="s">
        <v>122</v>
      </c>
      <c r="J76" s="9" t="s">
        <v>123</v>
      </c>
      <c r="K76" s="9" t="s">
        <v>47</v>
      </c>
      <c r="L76" s="9" t="s">
        <v>124</v>
      </c>
      <c r="M76" s="9" t="s">
        <v>125</v>
      </c>
      <c r="N76" s="8">
        <v>30</v>
      </c>
      <c r="O76" s="8" t="s">
        <v>28</v>
      </c>
      <c r="P76" s="9" t="s">
        <v>126</v>
      </c>
      <c r="Q76" s="8" t="s">
        <v>30</v>
      </c>
      <c r="R76" s="8">
        <f>MONTH(Tabela1[[#This Row],[Data]])</f>
        <v>1</v>
      </c>
    </row>
    <row r="77" spans="1:18" ht="42" hidden="1" x14ac:dyDescent="0.35">
      <c r="A77" s="14">
        <v>46049</v>
      </c>
      <c r="B77" s="8" t="s">
        <v>120</v>
      </c>
      <c r="C77" s="9" t="s">
        <v>202</v>
      </c>
      <c r="D77" s="9" t="s">
        <v>19</v>
      </c>
      <c r="E77" s="9" t="s">
        <v>203</v>
      </c>
      <c r="F77" s="9" t="s">
        <v>21</v>
      </c>
      <c r="G77" s="8" t="s">
        <v>114</v>
      </c>
      <c r="H77" s="9" t="s">
        <v>44</v>
      </c>
      <c r="I77" s="9" t="s">
        <v>127</v>
      </c>
      <c r="J77" s="9" t="s">
        <v>128</v>
      </c>
      <c r="K77" s="9" t="s">
        <v>47</v>
      </c>
      <c r="L77" s="9" t="s">
        <v>129</v>
      </c>
      <c r="M77" s="9" t="s">
        <v>208</v>
      </c>
      <c r="N77" s="8">
        <v>30</v>
      </c>
      <c r="O77" s="8" t="s">
        <v>28</v>
      </c>
      <c r="P77" s="9" t="s">
        <v>131</v>
      </c>
      <c r="Q77" s="8" t="s">
        <v>30</v>
      </c>
      <c r="R77" s="8">
        <f>MONTH(Tabela1[[#This Row],[Data]])</f>
        <v>1</v>
      </c>
    </row>
    <row r="78" spans="1:18" ht="28" hidden="1" x14ac:dyDescent="0.35">
      <c r="A78" s="14">
        <v>46049</v>
      </c>
      <c r="B78" s="8" t="s">
        <v>120</v>
      </c>
      <c r="C78" s="9" t="s">
        <v>202</v>
      </c>
      <c r="D78" s="9" t="s">
        <v>19</v>
      </c>
      <c r="E78" s="9" t="s">
        <v>203</v>
      </c>
      <c r="F78" s="9" t="s">
        <v>21</v>
      </c>
      <c r="G78" s="8" t="s">
        <v>121</v>
      </c>
      <c r="H78" s="9" t="s">
        <v>132</v>
      </c>
      <c r="I78" s="9" t="s">
        <v>133</v>
      </c>
      <c r="J78" s="9" t="s">
        <v>134</v>
      </c>
      <c r="K78" s="9" t="s">
        <v>101</v>
      </c>
      <c r="L78" s="9" t="s">
        <v>135</v>
      </c>
      <c r="M78" s="9" t="s">
        <v>136</v>
      </c>
      <c r="N78" s="8">
        <v>20</v>
      </c>
      <c r="O78" s="8" t="s">
        <v>80</v>
      </c>
      <c r="P78" s="9" t="s">
        <v>137</v>
      </c>
      <c r="Q78" s="8" t="s">
        <v>30</v>
      </c>
      <c r="R78" s="8">
        <f>MONTH(Tabela1[[#This Row],[Data]])</f>
        <v>1</v>
      </c>
    </row>
    <row r="79" spans="1:18" ht="28" hidden="1" x14ac:dyDescent="0.35">
      <c r="A79" s="14">
        <v>46050</v>
      </c>
      <c r="B79" s="8" t="s">
        <v>138</v>
      </c>
      <c r="C79" s="9" t="s">
        <v>202</v>
      </c>
      <c r="D79" s="9" t="s">
        <v>19</v>
      </c>
      <c r="E79" s="9" t="s">
        <v>203</v>
      </c>
      <c r="F79" s="9" t="s">
        <v>21</v>
      </c>
      <c r="G79" s="8" t="s">
        <v>114</v>
      </c>
      <c r="H79" s="9" t="s">
        <v>37</v>
      </c>
      <c r="I79" s="9" t="s">
        <v>139</v>
      </c>
      <c r="J79" s="9" t="s">
        <v>140</v>
      </c>
      <c r="K79" s="9" t="s">
        <v>141</v>
      </c>
      <c r="L79" s="9" t="s">
        <v>41</v>
      </c>
      <c r="M79" s="9" t="s">
        <v>142</v>
      </c>
      <c r="N79" s="8">
        <v>35</v>
      </c>
      <c r="O79" s="8" t="s">
        <v>28</v>
      </c>
      <c r="P79" s="9" t="s">
        <v>143</v>
      </c>
      <c r="Q79" s="8" t="s">
        <v>30</v>
      </c>
      <c r="R79" s="8">
        <f>MONTH(Tabela1[[#This Row],[Data]])</f>
        <v>1</v>
      </c>
    </row>
    <row r="80" spans="1:18" ht="42" hidden="1" x14ac:dyDescent="0.35">
      <c r="A80" s="14">
        <v>46050</v>
      </c>
      <c r="B80" s="8" t="s">
        <v>138</v>
      </c>
      <c r="C80" s="9" t="s">
        <v>202</v>
      </c>
      <c r="D80" s="9" t="s">
        <v>19</v>
      </c>
      <c r="E80" s="9" t="s">
        <v>203</v>
      </c>
      <c r="F80" s="9" t="s">
        <v>21</v>
      </c>
      <c r="G80" s="8" t="s">
        <v>114</v>
      </c>
      <c r="H80" s="9" t="s">
        <v>75</v>
      </c>
      <c r="I80" s="9" t="s">
        <v>144</v>
      </c>
      <c r="J80" s="9" t="s">
        <v>145</v>
      </c>
      <c r="K80" s="9" t="s">
        <v>47</v>
      </c>
      <c r="L80" s="9" t="s">
        <v>26</v>
      </c>
      <c r="M80" s="9" t="s">
        <v>146</v>
      </c>
      <c r="N80" s="8">
        <v>30</v>
      </c>
      <c r="O80" s="8" t="s">
        <v>28</v>
      </c>
      <c r="P80" s="9" t="s">
        <v>147</v>
      </c>
      <c r="Q80" s="8" t="s">
        <v>30</v>
      </c>
      <c r="R80" s="8">
        <f>MONTH(Tabela1[[#This Row],[Data]])</f>
        <v>1</v>
      </c>
    </row>
    <row r="81" spans="1:18" ht="42" hidden="1" x14ac:dyDescent="0.35">
      <c r="A81" s="14">
        <v>46050</v>
      </c>
      <c r="B81" s="8" t="s">
        <v>138</v>
      </c>
      <c r="C81" s="9" t="s">
        <v>202</v>
      </c>
      <c r="D81" s="9" t="s">
        <v>19</v>
      </c>
      <c r="E81" s="9" t="s">
        <v>203</v>
      </c>
      <c r="F81" s="9" t="s">
        <v>21</v>
      </c>
      <c r="G81" s="8" t="s">
        <v>114</v>
      </c>
      <c r="H81" s="9" t="s">
        <v>44</v>
      </c>
      <c r="I81" s="9" t="s">
        <v>183</v>
      </c>
      <c r="J81" s="9" t="s">
        <v>184</v>
      </c>
      <c r="K81" s="9" t="s">
        <v>47</v>
      </c>
      <c r="L81" s="9" t="s">
        <v>185</v>
      </c>
      <c r="M81" s="9" t="s">
        <v>186</v>
      </c>
      <c r="N81" s="8">
        <v>25</v>
      </c>
      <c r="O81" s="8" t="s">
        <v>28</v>
      </c>
      <c r="P81" s="9" t="s">
        <v>187</v>
      </c>
      <c r="Q81" s="8" t="s">
        <v>30</v>
      </c>
      <c r="R81" s="8">
        <f>MONTH(Tabela1[[#This Row],[Data]])</f>
        <v>1</v>
      </c>
    </row>
    <row r="82" spans="1:18" ht="42" hidden="1" x14ac:dyDescent="0.35">
      <c r="A82" s="14">
        <v>46051</v>
      </c>
      <c r="B82" s="8" t="s">
        <v>17</v>
      </c>
      <c r="C82" s="9" t="s">
        <v>202</v>
      </c>
      <c r="D82" s="9" t="s">
        <v>19</v>
      </c>
      <c r="E82" s="9" t="s">
        <v>203</v>
      </c>
      <c r="F82" s="9" t="s">
        <v>21</v>
      </c>
      <c r="G82" s="8" t="s">
        <v>121</v>
      </c>
      <c r="H82" s="9" t="s">
        <v>132</v>
      </c>
      <c r="I82" s="9" t="s">
        <v>148</v>
      </c>
      <c r="J82" s="9" t="s">
        <v>149</v>
      </c>
      <c r="K82" s="9" t="s">
        <v>150</v>
      </c>
      <c r="L82" s="9" t="s">
        <v>151</v>
      </c>
      <c r="M82" s="9" t="s">
        <v>152</v>
      </c>
      <c r="N82" s="8">
        <v>40</v>
      </c>
      <c r="O82" s="8" t="s">
        <v>28</v>
      </c>
      <c r="P82" s="9" t="s">
        <v>153</v>
      </c>
      <c r="Q82" s="8" t="s">
        <v>30</v>
      </c>
      <c r="R82" s="8">
        <f>MONTH(Tabela1[[#This Row],[Data]])</f>
        <v>1</v>
      </c>
    </row>
    <row r="83" spans="1:18" ht="42" hidden="1" x14ac:dyDescent="0.35">
      <c r="A83" s="14">
        <v>46051</v>
      </c>
      <c r="B83" s="8" t="s">
        <v>17</v>
      </c>
      <c r="C83" s="9" t="s">
        <v>202</v>
      </c>
      <c r="D83" s="9" t="s">
        <v>19</v>
      </c>
      <c r="E83" s="9" t="s">
        <v>203</v>
      </c>
      <c r="F83" s="9" t="s">
        <v>21</v>
      </c>
      <c r="G83" s="8" t="s">
        <v>121</v>
      </c>
      <c r="H83" s="9" t="s">
        <v>44</v>
      </c>
      <c r="I83" s="9" t="s">
        <v>154</v>
      </c>
      <c r="J83" s="9" t="s">
        <v>155</v>
      </c>
      <c r="K83" s="9" t="s">
        <v>47</v>
      </c>
      <c r="L83" s="9" t="s">
        <v>41</v>
      </c>
      <c r="M83" s="9" t="s">
        <v>156</v>
      </c>
      <c r="N83" s="8">
        <v>25</v>
      </c>
      <c r="O83" s="8" t="s">
        <v>80</v>
      </c>
      <c r="P83" s="9" t="s">
        <v>157</v>
      </c>
      <c r="Q83" s="8" t="s">
        <v>30</v>
      </c>
      <c r="R83" s="8">
        <f>MONTH(Tabela1[[#This Row],[Data]])</f>
        <v>1</v>
      </c>
    </row>
    <row r="84" spans="1:18" ht="42" hidden="1" x14ac:dyDescent="0.35">
      <c r="A84" s="14">
        <v>46052</v>
      </c>
      <c r="B84" s="8" t="s">
        <v>36</v>
      </c>
      <c r="C84" s="9" t="s">
        <v>202</v>
      </c>
      <c r="D84" s="9" t="s">
        <v>19</v>
      </c>
      <c r="E84" s="9" t="s">
        <v>203</v>
      </c>
      <c r="F84" s="9" t="s">
        <v>21</v>
      </c>
      <c r="G84" s="8" t="s">
        <v>114</v>
      </c>
      <c r="H84" s="9" t="s">
        <v>158</v>
      </c>
      <c r="I84" s="9" t="s">
        <v>159</v>
      </c>
      <c r="J84" s="9" t="s">
        <v>160</v>
      </c>
      <c r="K84" s="9" t="s">
        <v>161</v>
      </c>
      <c r="L84" s="9" t="s">
        <v>41</v>
      </c>
      <c r="M84" s="9" t="s">
        <v>162</v>
      </c>
      <c r="N84" s="8">
        <v>50</v>
      </c>
      <c r="O84" s="8" t="s">
        <v>28</v>
      </c>
      <c r="P84" s="9" t="s">
        <v>163</v>
      </c>
      <c r="Q84" s="8" t="s">
        <v>30</v>
      </c>
      <c r="R84" s="8">
        <f>MONTH(Tabela1[[#This Row],[Data]])</f>
        <v>1</v>
      </c>
    </row>
    <row r="85" spans="1:18" ht="42" hidden="1" x14ac:dyDescent="0.35">
      <c r="A85" s="14">
        <v>46052</v>
      </c>
      <c r="B85" s="8" t="s">
        <v>36</v>
      </c>
      <c r="C85" s="9" t="s">
        <v>202</v>
      </c>
      <c r="D85" s="9" t="s">
        <v>19</v>
      </c>
      <c r="E85" s="9" t="s">
        <v>203</v>
      </c>
      <c r="F85" s="9" t="s">
        <v>21</v>
      </c>
      <c r="G85" s="8" t="s">
        <v>114</v>
      </c>
      <c r="H85" s="9" t="s">
        <v>188</v>
      </c>
      <c r="I85" s="9" t="s">
        <v>189</v>
      </c>
      <c r="J85" s="9" t="s">
        <v>190</v>
      </c>
      <c r="K85" s="9" t="s">
        <v>191</v>
      </c>
      <c r="L85" s="9" t="s">
        <v>192</v>
      </c>
      <c r="M85" s="9" t="s">
        <v>193</v>
      </c>
      <c r="N85" s="8">
        <v>35</v>
      </c>
      <c r="O85" s="8" t="s">
        <v>28</v>
      </c>
      <c r="P85" s="9" t="s">
        <v>194</v>
      </c>
      <c r="Q85" s="8" t="s">
        <v>30</v>
      </c>
      <c r="R85" s="8">
        <f>MONTH(Tabela1[[#This Row],[Data]])</f>
        <v>1</v>
      </c>
    </row>
    <row r="86" spans="1:18" ht="28" hidden="1" x14ac:dyDescent="0.35">
      <c r="A86" s="14">
        <v>46052</v>
      </c>
      <c r="B86" s="8" t="s">
        <v>36</v>
      </c>
      <c r="C86" s="9" t="s">
        <v>202</v>
      </c>
      <c r="D86" s="9" t="s">
        <v>19</v>
      </c>
      <c r="E86" s="9" t="s">
        <v>203</v>
      </c>
      <c r="F86" s="9" t="s">
        <v>21</v>
      </c>
      <c r="G86" s="8" t="s">
        <v>121</v>
      </c>
      <c r="H86" s="9" t="s">
        <v>164</v>
      </c>
      <c r="I86" s="9" t="s">
        <v>165</v>
      </c>
      <c r="J86" s="9" t="s">
        <v>166</v>
      </c>
      <c r="K86" s="9" t="s">
        <v>23</v>
      </c>
      <c r="L86" s="9" t="s">
        <v>26</v>
      </c>
      <c r="M86" s="9" t="s">
        <v>167</v>
      </c>
      <c r="N86" s="8">
        <v>20</v>
      </c>
      <c r="O86" s="8" t="s">
        <v>80</v>
      </c>
      <c r="P86" s="9" t="s">
        <v>168</v>
      </c>
      <c r="Q86" s="8" t="s">
        <v>30</v>
      </c>
      <c r="R86" s="8">
        <f>MONTH(Tabela1[[#This Row],[Data]])</f>
        <v>1</v>
      </c>
    </row>
    <row r="87" spans="1:18" ht="56" hidden="1" x14ac:dyDescent="0.35">
      <c r="A87" s="14">
        <v>45688</v>
      </c>
      <c r="B87" s="8"/>
      <c r="C87" s="9"/>
      <c r="D87" s="9"/>
      <c r="E87" s="9" t="s">
        <v>375</v>
      </c>
      <c r="F87" s="9"/>
      <c r="G87" s="8"/>
      <c r="H87" s="9"/>
      <c r="I87" s="9"/>
      <c r="J87" s="9"/>
      <c r="K87" s="9"/>
      <c r="L87" s="9"/>
      <c r="M87" s="9"/>
      <c r="N87" s="8"/>
      <c r="O87" s="8"/>
      <c r="P87" s="9"/>
      <c r="Q87" s="8"/>
      <c r="R87" s="8">
        <f>MONTH(Tabela1[[#This Row],[Data]])</f>
        <v>1</v>
      </c>
    </row>
    <row r="88" spans="1:18" ht="56" hidden="1" x14ac:dyDescent="0.35">
      <c r="A88" s="14">
        <v>45688</v>
      </c>
      <c r="B88" s="8"/>
      <c r="C88" s="9"/>
      <c r="D88" s="9"/>
      <c r="E88" s="9" t="s">
        <v>374</v>
      </c>
      <c r="F88" s="9"/>
      <c r="G88" s="8"/>
      <c r="H88" s="9"/>
      <c r="I88" s="9"/>
      <c r="J88" s="9"/>
      <c r="K88" s="9"/>
      <c r="L88" s="9"/>
      <c r="M88" s="9"/>
      <c r="N88" s="8"/>
      <c r="O88" s="8"/>
      <c r="P88" s="9"/>
      <c r="Q88" s="8"/>
      <c r="R88" s="8">
        <f>MONTH(Tabela1[[#This Row],[Data]])</f>
        <v>1</v>
      </c>
    </row>
    <row r="89" spans="1:18" ht="42" hidden="1" x14ac:dyDescent="0.35">
      <c r="A89" s="14">
        <v>45688</v>
      </c>
      <c r="B89" s="8"/>
      <c r="C89" s="9"/>
      <c r="D89" s="9"/>
      <c r="E89" s="9" t="s">
        <v>376</v>
      </c>
      <c r="F89" s="9"/>
      <c r="G89" s="8"/>
      <c r="H89" s="9"/>
      <c r="I89" s="9"/>
      <c r="J89" s="9"/>
      <c r="K89" s="9"/>
      <c r="L89" s="9"/>
      <c r="M89" s="9"/>
      <c r="N89" s="8"/>
      <c r="O89" s="8"/>
      <c r="P89" s="9"/>
      <c r="Q89" s="8"/>
      <c r="R89" s="8">
        <f>MONTH(Tabela1[[#This Row],[Data]])</f>
        <v>1</v>
      </c>
    </row>
    <row r="90" spans="1:18" ht="42" hidden="1" x14ac:dyDescent="0.35">
      <c r="A90" s="14">
        <v>46053</v>
      </c>
      <c r="B90" s="8" t="s">
        <v>50</v>
      </c>
      <c r="C90" s="9" t="s">
        <v>209</v>
      </c>
      <c r="D90" s="9" t="s">
        <v>52</v>
      </c>
      <c r="E90" s="9" t="s">
        <v>210</v>
      </c>
      <c r="F90" s="9" t="s">
        <v>60</v>
      </c>
      <c r="G90" s="8" t="s">
        <v>61</v>
      </c>
      <c r="H90" s="9" t="s">
        <v>62</v>
      </c>
      <c r="I90" s="9" t="s">
        <v>63</v>
      </c>
      <c r="J90" s="9" t="s">
        <v>64</v>
      </c>
      <c r="K90" s="9" t="s">
        <v>65</v>
      </c>
      <c r="L90" s="9" t="s">
        <v>211</v>
      </c>
      <c r="M90" s="9" t="s">
        <v>212</v>
      </c>
      <c r="N90" s="8">
        <v>70</v>
      </c>
      <c r="O90" s="8" t="s">
        <v>28</v>
      </c>
      <c r="P90" s="9" t="s">
        <v>68</v>
      </c>
      <c r="Q90" s="8" t="s">
        <v>30</v>
      </c>
      <c r="R90" s="8">
        <f>MONTH(Tabela1[[#This Row],[Data]])</f>
        <v>1</v>
      </c>
    </row>
    <row r="91" spans="1:18" ht="42" hidden="1" x14ac:dyDescent="0.35">
      <c r="A91" s="14">
        <v>46053</v>
      </c>
      <c r="B91" s="8" t="s">
        <v>50</v>
      </c>
      <c r="C91" s="9" t="s">
        <v>209</v>
      </c>
      <c r="D91" s="9" t="s">
        <v>52</v>
      </c>
      <c r="E91" s="9" t="s">
        <v>210</v>
      </c>
      <c r="F91" s="9" t="s">
        <v>60</v>
      </c>
      <c r="G91" s="8" t="s">
        <v>61</v>
      </c>
      <c r="H91" s="9" t="s">
        <v>69</v>
      </c>
      <c r="I91" s="9" t="s">
        <v>70</v>
      </c>
      <c r="J91" s="9" t="s">
        <v>71</v>
      </c>
      <c r="K91" s="9" t="s">
        <v>72</v>
      </c>
      <c r="L91" s="9" t="s">
        <v>26</v>
      </c>
      <c r="M91" s="9" t="s">
        <v>73</v>
      </c>
      <c r="N91" s="8">
        <v>80</v>
      </c>
      <c r="O91" s="8" t="s">
        <v>28</v>
      </c>
      <c r="P91" s="9" t="s">
        <v>74</v>
      </c>
      <c r="Q91" s="8" t="s">
        <v>30</v>
      </c>
      <c r="R91" s="8">
        <f>MONTH(Tabela1[[#This Row],[Data]])</f>
        <v>1</v>
      </c>
    </row>
    <row r="92" spans="1:18" ht="42" hidden="1" x14ac:dyDescent="0.35">
      <c r="A92" s="14">
        <v>46053</v>
      </c>
      <c r="B92" s="8" t="s">
        <v>50</v>
      </c>
      <c r="C92" s="9" t="s">
        <v>209</v>
      </c>
      <c r="D92" s="9" t="s">
        <v>52</v>
      </c>
      <c r="E92" s="9" t="s">
        <v>210</v>
      </c>
      <c r="F92" s="9" t="s">
        <v>60</v>
      </c>
      <c r="G92" s="8" t="s">
        <v>61</v>
      </c>
      <c r="H92" s="9" t="s">
        <v>75</v>
      </c>
      <c r="I92" s="9" t="s">
        <v>76</v>
      </c>
      <c r="J92" s="9" t="s">
        <v>77</v>
      </c>
      <c r="K92" s="9" t="s">
        <v>78</v>
      </c>
      <c r="L92" s="9" t="s">
        <v>26</v>
      </c>
      <c r="M92" s="9" t="s">
        <v>79</v>
      </c>
      <c r="N92" s="8">
        <v>35</v>
      </c>
      <c r="O92" s="8" t="s">
        <v>80</v>
      </c>
      <c r="P92" s="9" t="s">
        <v>81</v>
      </c>
      <c r="Q92" s="8" t="s">
        <v>30</v>
      </c>
      <c r="R92" s="8">
        <f>MONTH(Tabela1[[#This Row],[Data]])</f>
        <v>1</v>
      </c>
    </row>
    <row r="93" spans="1:18" ht="42" hidden="1" x14ac:dyDescent="0.35">
      <c r="A93" s="14">
        <v>46055</v>
      </c>
      <c r="B93" s="8" t="s">
        <v>83</v>
      </c>
      <c r="C93" s="9" t="s">
        <v>209</v>
      </c>
      <c r="D93" s="9" t="s">
        <v>84</v>
      </c>
      <c r="E93" s="9" t="s">
        <v>210</v>
      </c>
      <c r="F93" s="9" t="s">
        <v>54</v>
      </c>
      <c r="G93" s="8" t="s">
        <v>114</v>
      </c>
      <c r="H93" s="9" t="s">
        <v>75</v>
      </c>
      <c r="I93" s="9" t="s">
        <v>214</v>
      </c>
      <c r="J93" s="9" t="s">
        <v>215</v>
      </c>
      <c r="K93" s="9" t="s">
        <v>216</v>
      </c>
      <c r="L93" s="9" t="s">
        <v>26</v>
      </c>
      <c r="M93" s="9" t="s">
        <v>217</v>
      </c>
      <c r="N93" s="8">
        <v>60</v>
      </c>
      <c r="O93" s="8" t="s">
        <v>28</v>
      </c>
      <c r="P93" s="9" t="s">
        <v>218</v>
      </c>
      <c r="Q93" s="8" t="s">
        <v>30</v>
      </c>
      <c r="R93" s="8">
        <f>MONTH(Tabela1[[#This Row],[Data]])</f>
        <v>2</v>
      </c>
    </row>
    <row r="94" spans="1:18" ht="56" hidden="1" x14ac:dyDescent="0.35">
      <c r="A94" s="14">
        <v>46055</v>
      </c>
      <c r="B94" s="8" t="s">
        <v>83</v>
      </c>
      <c r="C94" s="9" t="s">
        <v>209</v>
      </c>
      <c r="D94" s="9" t="s">
        <v>84</v>
      </c>
      <c r="E94" s="9" t="s">
        <v>210</v>
      </c>
      <c r="F94" s="9" t="s">
        <v>85</v>
      </c>
      <c r="G94" s="8" t="s">
        <v>86</v>
      </c>
      <c r="H94" s="9" t="s">
        <v>87</v>
      </c>
      <c r="I94" s="9" t="s">
        <v>88</v>
      </c>
      <c r="J94" s="9" t="s">
        <v>89</v>
      </c>
      <c r="K94" s="9" t="s">
        <v>90</v>
      </c>
      <c r="L94" s="9" t="s">
        <v>91</v>
      </c>
      <c r="M94" s="9" t="s">
        <v>219</v>
      </c>
      <c r="N94" s="8">
        <v>150</v>
      </c>
      <c r="O94" s="8" t="s">
        <v>28</v>
      </c>
      <c r="P94" s="9" t="s">
        <v>93</v>
      </c>
      <c r="Q94" s="8" t="s">
        <v>30</v>
      </c>
      <c r="R94" s="8">
        <f>MONTH(Tabela1[[#This Row],[Data]])</f>
        <v>2</v>
      </c>
    </row>
    <row r="95" spans="1:18" ht="28" hidden="1" x14ac:dyDescent="0.35">
      <c r="A95" s="14">
        <v>46055</v>
      </c>
      <c r="B95" s="8" t="s">
        <v>83</v>
      </c>
      <c r="C95" s="9" t="s">
        <v>209</v>
      </c>
      <c r="D95" s="9" t="s">
        <v>84</v>
      </c>
      <c r="E95" s="9" t="s">
        <v>210</v>
      </c>
      <c r="F95" s="9" t="s">
        <v>85</v>
      </c>
      <c r="G95" s="8" t="s">
        <v>86</v>
      </c>
      <c r="H95" s="9" t="s">
        <v>94</v>
      </c>
      <c r="I95" s="9" t="s">
        <v>95</v>
      </c>
      <c r="J95" s="9" t="s">
        <v>96</v>
      </c>
      <c r="K95" s="9" t="s">
        <v>97</v>
      </c>
      <c r="L95" s="9" t="s">
        <v>98</v>
      </c>
      <c r="M95" s="9" t="s">
        <v>99</v>
      </c>
      <c r="N95" s="8">
        <v>60</v>
      </c>
      <c r="O95" s="8" t="s">
        <v>28</v>
      </c>
      <c r="P95" s="9" t="s">
        <v>100</v>
      </c>
      <c r="Q95" s="8" t="s">
        <v>30</v>
      </c>
      <c r="R95" s="8">
        <f>MONTH(Tabela1[[#This Row],[Data]])</f>
        <v>2</v>
      </c>
    </row>
    <row r="96" spans="1:18" ht="56" hidden="1" x14ac:dyDescent="0.35">
      <c r="A96" s="14">
        <v>46055</v>
      </c>
      <c r="B96" s="8" t="s">
        <v>83</v>
      </c>
      <c r="C96" s="9" t="s">
        <v>209</v>
      </c>
      <c r="D96" s="9" t="s">
        <v>84</v>
      </c>
      <c r="E96" s="9" t="s">
        <v>210</v>
      </c>
      <c r="F96" s="9" t="s">
        <v>85</v>
      </c>
      <c r="G96" s="8" t="s">
        <v>86</v>
      </c>
      <c r="H96" s="9" t="s">
        <v>101</v>
      </c>
      <c r="I96" s="9" t="s">
        <v>102</v>
      </c>
      <c r="J96" s="9" t="s">
        <v>103</v>
      </c>
      <c r="K96" s="9" t="s">
        <v>101</v>
      </c>
      <c r="L96" s="9" t="s">
        <v>104</v>
      </c>
      <c r="M96" s="9" t="s">
        <v>105</v>
      </c>
      <c r="N96" s="8">
        <v>60</v>
      </c>
      <c r="O96" s="8" t="s">
        <v>28</v>
      </c>
      <c r="P96" s="9" t="s">
        <v>106</v>
      </c>
      <c r="Q96" s="8" t="s">
        <v>30</v>
      </c>
      <c r="R96" s="8">
        <f>MONTH(Tabela1[[#This Row],[Data]])</f>
        <v>2</v>
      </c>
    </row>
    <row r="97" spans="1:18" ht="28" hidden="1" x14ac:dyDescent="0.35">
      <c r="A97" s="14">
        <v>46055</v>
      </c>
      <c r="B97" s="8" t="s">
        <v>83</v>
      </c>
      <c r="C97" s="9" t="s">
        <v>209</v>
      </c>
      <c r="D97" s="9" t="s">
        <v>84</v>
      </c>
      <c r="E97" s="9" t="s">
        <v>210</v>
      </c>
      <c r="F97" s="9" t="s">
        <v>85</v>
      </c>
      <c r="G97" s="8" t="s">
        <v>86</v>
      </c>
      <c r="H97" s="9" t="s">
        <v>107</v>
      </c>
      <c r="I97" s="9" t="s">
        <v>108</v>
      </c>
      <c r="J97" s="9" t="s">
        <v>109</v>
      </c>
      <c r="K97" s="9" t="s">
        <v>110</v>
      </c>
      <c r="L97" s="9" t="s">
        <v>111</v>
      </c>
      <c r="M97" s="9" t="s">
        <v>112</v>
      </c>
      <c r="N97" s="8">
        <v>90</v>
      </c>
      <c r="O97" s="8" t="s">
        <v>28</v>
      </c>
      <c r="P97" s="9" t="s">
        <v>113</v>
      </c>
      <c r="Q97" s="8" t="s">
        <v>30</v>
      </c>
      <c r="R97" s="8">
        <f>MONTH(Tabela1[[#This Row],[Data]])</f>
        <v>2</v>
      </c>
    </row>
    <row r="98" spans="1:18" ht="28" hidden="1" x14ac:dyDescent="0.35">
      <c r="A98" s="14">
        <v>46055</v>
      </c>
      <c r="B98" s="8" t="s">
        <v>83</v>
      </c>
      <c r="C98" s="9" t="s">
        <v>209</v>
      </c>
      <c r="D98" s="9" t="s">
        <v>84</v>
      </c>
      <c r="E98" s="9" t="s">
        <v>210</v>
      </c>
      <c r="F98" s="9" t="s">
        <v>54</v>
      </c>
      <c r="G98" s="8" t="s">
        <v>114</v>
      </c>
      <c r="H98" s="9" t="s">
        <v>115</v>
      </c>
      <c r="I98" s="9" t="s">
        <v>116</v>
      </c>
      <c r="J98" s="9" t="s">
        <v>117</v>
      </c>
      <c r="K98" s="9" t="s">
        <v>23</v>
      </c>
      <c r="L98" s="9" t="s">
        <v>26</v>
      </c>
      <c r="M98" s="9" t="s">
        <v>118</v>
      </c>
      <c r="N98" s="8">
        <v>20</v>
      </c>
      <c r="O98" s="8" t="s">
        <v>80</v>
      </c>
      <c r="P98" s="9" t="s">
        <v>119</v>
      </c>
      <c r="Q98" s="8" t="s">
        <v>30</v>
      </c>
      <c r="R98" s="8">
        <f>MONTH(Tabela1[[#This Row],[Data]])</f>
        <v>2</v>
      </c>
    </row>
    <row r="99" spans="1:18" ht="42" hidden="1" x14ac:dyDescent="0.35">
      <c r="A99" s="14">
        <v>46056</v>
      </c>
      <c r="B99" s="8" t="s">
        <v>120</v>
      </c>
      <c r="C99" s="9" t="s">
        <v>209</v>
      </c>
      <c r="D99" s="9" t="s">
        <v>19</v>
      </c>
      <c r="E99" s="9" t="s">
        <v>210</v>
      </c>
      <c r="F99" s="9" t="s">
        <v>220</v>
      </c>
      <c r="G99" s="8" t="s">
        <v>22</v>
      </c>
      <c r="H99" s="9" t="s">
        <v>221</v>
      </c>
      <c r="I99" s="9" t="s">
        <v>222</v>
      </c>
      <c r="J99" s="9" t="s">
        <v>223</v>
      </c>
      <c r="K99" s="9" t="s">
        <v>221</v>
      </c>
      <c r="L99" s="9" t="s">
        <v>224</v>
      </c>
      <c r="M99" s="9" t="s">
        <v>225</v>
      </c>
      <c r="N99" s="8">
        <v>90</v>
      </c>
      <c r="O99" s="8" t="s">
        <v>28</v>
      </c>
      <c r="P99" s="9" t="s">
        <v>226</v>
      </c>
      <c r="Q99" s="8" t="s">
        <v>30</v>
      </c>
      <c r="R99" s="8">
        <f>MONTH(Tabela1[[#This Row],[Data]])</f>
        <v>2</v>
      </c>
    </row>
    <row r="100" spans="1:18" ht="42" hidden="1" x14ac:dyDescent="0.35">
      <c r="A100" s="14">
        <v>46056</v>
      </c>
      <c r="B100" s="8" t="s">
        <v>120</v>
      </c>
      <c r="C100" s="9" t="s">
        <v>209</v>
      </c>
      <c r="D100" s="9" t="s">
        <v>19</v>
      </c>
      <c r="E100" s="9" t="s">
        <v>210</v>
      </c>
      <c r="F100" s="9" t="s">
        <v>54</v>
      </c>
      <c r="G100" s="8" t="s">
        <v>121</v>
      </c>
      <c r="H100" s="9" t="s">
        <v>44</v>
      </c>
      <c r="I100" s="9" t="s">
        <v>122</v>
      </c>
      <c r="J100" s="9" t="s">
        <v>123</v>
      </c>
      <c r="K100" s="9" t="s">
        <v>47</v>
      </c>
      <c r="L100" s="9" t="s">
        <v>124</v>
      </c>
      <c r="M100" s="9" t="s">
        <v>125</v>
      </c>
      <c r="N100" s="8">
        <v>30</v>
      </c>
      <c r="O100" s="8" t="s">
        <v>28</v>
      </c>
      <c r="P100" s="9" t="s">
        <v>126</v>
      </c>
      <c r="Q100" s="8" t="s">
        <v>30</v>
      </c>
      <c r="R100" s="8">
        <f>MONTH(Tabela1[[#This Row],[Data]])</f>
        <v>2</v>
      </c>
    </row>
    <row r="101" spans="1:18" ht="42" hidden="1" x14ac:dyDescent="0.35">
      <c r="A101" s="14">
        <v>46056</v>
      </c>
      <c r="B101" s="8" t="s">
        <v>120</v>
      </c>
      <c r="C101" s="9" t="s">
        <v>209</v>
      </c>
      <c r="D101" s="9" t="s">
        <v>19</v>
      </c>
      <c r="E101" s="9" t="s">
        <v>210</v>
      </c>
      <c r="F101" s="9" t="s">
        <v>54</v>
      </c>
      <c r="G101" s="8" t="s">
        <v>114</v>
      </c>
      <c r="H101" s="9" t="s">
        <v>44</v>
      </c>
      <c r="I101" s="9" t="s">
        <v>127</v>
      </c>
      <c r="J101" s="9" t="s">
        <v>128</v>
      </c>
      <c r="K101" s="9" t="s">
        <v>47</v>
      </c>
      <c r="L101" s="9" t="s">
        <v>129</v>
      </c>
      <c r="M101" s="9" t="s">
        <v>227</v>
      </c>
      <c r="N101" s="8">
        <v>30</v>
      </c>
      <c r="O101" s="8" t="s">
        <v>28</v>
      </c>
      <c r="P101" s="9" t="s">
        <v>131</v>
      </c>
      <c r="Q101" s="8" t="s">
        <v>30</v>
      </c>
      <c r="R101" s="8">
        <f>MONTH(Tabela1[[#This Row],[Data]])</f>
        <v>2</v>
      </c>
    </row>
    <row r="102" spans="1:18" ht="28" hidden="1" x14ac:dyDescent="0.35">
      <c r="A102" s="14">
        <v>46056</v>
      </c>
      <c r="B102" s="8" t="s">
        <v>120</v>
      </c>
      <c r="C102" s="9" t="s">
        <v>209</v>
      </c>
      <c r="D102" s="9" t="s">
        <v>19</v>
      </c>
      <c r="E102" s="9" t="s">
        <v>210</v>
      </c>
      <c r="F102" s="9" t="s">
        <v>54</v>
      </c>
      <c r="G102" s="8" t="s">
        <v>121</v>
      </c>
      <c r="H102" s="9" t="s">
        <v>132</v>
      </c>
      <c r="I102" s="9" t="s">
        <v>133</v>
      </c>
      <c r="J102" s="9" t="s">
        <v>134</v>
      </c>
      <c r="K102" s="9" t="s">
        <v>101</v>
      </c>
      <c r="L102" s="9" t="s">
        <v>135</v>
      </c>
      <c r="M102" s="9" t="s">
        <v>136</v>
      </c>
      <c r="N102" s="8">
        <v>20</v>
      </c>
      <c r="O102" s="8" t="s">
        <v>80</v>
      </c>
      <c r="P102" s="9" t="s">
        <v>137</v>
      </c>
      <c r="Q102" s="8" t="s">
        <v>30</v>
      </c>
      <c r="R102" s="8">
        <f>MONTH(Tabela1[[#This Row],[Data]])</f>
        <v>2</v>
      </c>
    </row>
    <row r="103" spans="1:18" ht="42" hidden="1" x14ac:dyDescent="0.35">
      <c r="A103" s="14">
        <v>46057</v>
      </c>
      <c r="B103" s="8" t="s">
        <v>138</v>
      </c>
      <c r="C103" s="9" t="s">
        <v>209</v>
      </c>
      <c r="D103" s="9" t="s">
        <v>19</v>
      </c>
      <c r="E103" s="9" t="s">
        <v>210</v>
      </c>
      <c r="F103" s="9" t="s">
        <v>54</v>
      </c>
      <c r="G103" s="8" t="s">
        <v>22</v>
      </c>
      <c r="H103" s="9" t="s">
        <v>23</v>
      </c>
      <c r="I103" s="9" t="s">
        <v>228</v>
      </c>
      <c r="J103" s="9" t="s">
        <v>229</v>
      </c>
      <c r="K103" s="9" t="s">
        <v>23</v>
      </c>
      <c r="L103" s="9" t="s">
        <v>230</v>
      </c>
      <c r="M103" s="9" t="s">
        <v>231</v>
      </c>
      <c r="N103" s="8">
        <v>45</v>
      </c>
      <c r="O103" s="8" t="s">
        <v>80</v>
      </c>
      <c r="P103" s="9" t="s">
        <v>232</v>
      </c>
      <c r="Q103" s="8" t="s">
        <v>30</v>
      </c>
      <c r="R103" s="8">
        <f>MONTH(Tabela1[[#This Row],[Data]])</f>
        <v>2</v>
      </c>
    </row>
    <row r="104" spans="1:18" ht="28" hidden="1" x14ac:dyDescent="0.35">
      <c r="A104" s="14">
        <v>46057</v>
      </c>
      <c r="B104" s="8" t="s">
        <v>138</v>
      </c>
      <c r="C104" s="9" t="s">
        <v>209</v>
      </c>
      <c r="D104" s="9" t="s">
        <v>19</v>
      </c>
      <c r="E104" s="9" t="s">
        <v>210</v>
      </c>
      <c r="F104" s="9" t="s">
        <v>54</v>
      </c>
      <c r="G104" s="8" t="s">
        <v>114</v>
      </c>
      <c r="H104" s="9" t="s">
        <v>37</v>
      </c>
      <c r="I104" s="9" t="s">
        <v>139</v>
      </c>
      <c r="J104" s="9" t="s">
        <v>140</v>
      </c>
      <c r="K104" s="9" t="s">
        <v>141</v>
      </c>
      <c r="L104" s="9" t="s">
        <v>41</v>
      </c>
      <c r="M104" s="9" t="s">
        <v>142</v>
      </c>
      <c r="N104" s="8">
        <v>35</v>
      </c>
      <c r="O104" s="8" t="s">
        <v>28</v>
      </c>
      <c r="P104" s="9" t="s">
        <v>143</v>
      </c>
      <c r="Q104" s="8" t="s">
        <v>30</v>
      </c>
      <c r="R104" s="8">
        <f>MONTH(Tabela1[[#This Row],[Data]])</f>
        <v>2</v>
      </c>
    </row>
    <row r="105" spans="1:18" ht="42" hidden="1" x14ac:dyDescent="0.35">
      <c r="A105" s="14">
        <v>46057</v>
      </c>
      <c r="B105" s="8" t="s">
        <v>138</v>
      </c>
      <c r="C105" s="9" t="s">
        <v>209</v>
      </c>
      <c r="D105" s="9" t="s">
        <v>19</v>
      </c>
      <c r="E105" s="9" t="s">
        <v>210</v>
      </c>
      <c r="F105" s="9" t="s">
        <v>54</v>
      </c>
      <c r="G105" s="8" t="s">
        <v>114</v>
      </c>
      <c r="H105" s="9" t="s">
        <v>75</v>
      </c>
      <c r="I105" s="9" t="s">
        <v>144</v>
      </c>
      <c r="J105" s="9" t="s">
        <v>145</v>
      </c>
      <c r="K105" s="9" t="s">
        <v>47</v>
      </c>
      <c r="L105" s="9" t="s">
        <v>26</v>
      </c>
      <c r="M105" s="9" t="s">
        <v>146</v>
      </c>
      <c r="N105" s="8">
        <v>30</v>
      </c>
      <c r="O105" s="8" t="s">
        <v>28</v>
      </c>
      <c r="P105" s="9" t="s">
        <v>147</v>
      </c>
      <c r="Q105" s="8" t="s">
        <v>30</v>
      </c>
      <c r="R105" s="8">
        <f>MONTH(Tabela1[[#This Row],[Data]])</f>
        <v>2</v>
      </c>
    </row>
    <row r="106" spans="1:18" ht="42" hidden="1" x14ac:dyDescent="0.35">
      <c r="A106" s="14">
        <v>46058</v>
      </c>
      <c r="B106" s="8" t="s">
        <v>17</v>
      </c>
      <c r="C106" s="9" t="s">
        <v>209</v>
      </c>
      <c r="D106" s="9" t="s">
        <v>19</v>
      </c>
      <c r="E106" s="9" t="s">
        <v>210</v>
      </c>
      <c r="F106" s="9" t="s">
        <v>54</v>
      </c>
      <c r="G106" s="8" t="s">
        <v>22</v>
      </c>
      <c r="H106" s="9" t="s">
        <v>44</v>
      </c>
      <c r="I106" s="9" t="s">
        <v>233</v>
      </c>
      <c r="J106" s="9" t="s">
        <v>234</v>
      </c>
      <c r="K106" s="9" t="s">
        <v>47</v>
      </c>
      <c r="L106" s="9" t="s">
        <v>235</v>
      </c>
      <c r="M106" s="9" t="s">
        <v>236</v>
      </c>
      <c r="N106" s="8">
        <v>90</v>
      </c>
      <c r="O106" s="8" t="s">
        <v>80</v>
      </c>
      <c r="P106" s="9" t="s">
        <v>237</v>
      </c>
      <c r="Q106" s="8" t="s">
        <v>30</v>
      </c>
      <c r="R106" s="8">
        <f>MONTH(Tabela1[[#This Row],[Data]])</f>
        <v>2</v>
      </c>
    </row>
    <row r="107" spans="1:18" ht="42" hidden="1" x14ac:dyDescent="0.35">
      <c r="A107" s="14">
        <v>46058</v>
      </c>
      <c r="B107" s="8" t="s">
        <v>17</v>
      </c>
      <c r="C107" s="9" t="s">
        <v>209</v>
      </c>
      <c r="D107" s="9" t="s">
        <v>19</v>
      </c>
      <c r="E107" s="9" t="s">
        <v>210</v>
      </c>
      <c r="F107" s="9" t="s">
        <v>54</v>
      </c>
      <c r="G107" s="8" t="s">
        <v>121</v>
      </c>
      <c r="H107" s="9" t="s">
        <v>132</v>
      </c>
      <c r="I107" s="9" t="s">
        <v>148</v>
      </c>
      <c r="J107" s="9" t="s">
        <v>149</v>
      </c>
      <c r="K107" s="9" t="s">
        <v>150</v>
      </c>
      <c r="L107" s="9" t="s">
        <v>151</v>
      </c>
      <c r="M107" s="9" t="s">
        <v>152</v>
      </c>
      <c r="N107" s="8">
        <v>40</v>
      </c>
      <c r="O107" s="8" t="s">
        <v>28</v>
      </c>
      <c r="P107" s="9" t="s">
        <v>153</v>
      </c>
      <c r="Q107" s="8" t="s">
        <v>30</v>
      </c>
      <c r="R107" s="8">
        <f>MONTH(Tabela1[[#This Row],[Data]])</f>
        <v>2</v>
      </c>
    </row>
    <row r="108" spans="1:18" ht="42" hidden="1" x14ac:dyDescent="0.35">
      <c r="A108" s="14">
        <v>46058</v>
      </c>
      <c r="B108" s="8" t="s">
        <v>17</v>
      </c>
      <c r="C108" s="9" t="s">
        <v>209</v>
      </c>
      <c r="D108" s="9" t="s">
        <v>19</v>
      </c>
      <c r="E108" s="9" t="s">
        <v>210</v>
      </c>
      <c r="F108" s="9" t="s">
        <v>54</v>
      </c>
      <c r="G108" s="8" t="s">
        <v>121</v>
      </c>
      <c r="H108" s="9" t="s">
        <v>44</v>
      </c>
      <c r="I108" s="9" t="s">
        <v>154</v>
      </c>
      <c r="J108" s="9" t="s">
        <v>155</v>
      </c>
      <c r="K108" s="9" t="s">
        <v>47</v>
      </c>
      <c r="L108" s="9" t="s">
        <v>41</v>
      </c>
      <c r="M108" s="9" t="s">
        <v>156</v>
      </c>
      <c r="N108" s="8">
        <v>25</v>
      </c>
      <c r="O108" s="8" t="s">
        <v>80</v>
      </c>
      <c r="P108" s="9" t="s">
        <v>157</v>
      </c>
      <c r="Q108" s="8" t="s">
        <v>30</v>
      </c>
      <c r="R108" s="8">
        <f>MONTH(Tabela1[[#This Row],[Data]])</f>
        <v>2</v>
      </c>
    </row>
    <row r="109" spans="1:18" ht="42" hidden="1" x14ac:dyDescent="0.35">
      <c r="A109" s="14">
        <v>46059</v>
      </c>
      <c r="B109" s="8" t="s">
        <v>36</v>
      </c>
      <c r="C109" s="9" t="s">
        <v>209</v>
      </c>
      <c r="D109" s="9" t="s">
        <v>19</v>
      </c>
      <c r="E109" s="9" t="s">
        <v>210</v>
      </c>
      <c r="F109" s="9" t="s">
        <v>54</v>
      </c>
      <c r="G109" s="8" t="s">
        <v>114</v>
      </c>
      <c r="H109" s="9" t="s">
        <v>158</v>
      </c>
      <c r="I109" s="9" t="s">
        <v>159</v>
      </c>
      <c r="J109" s="9" t="s">
        <v>160</v>
      </c>
      <c r="K109" s="9" t="s">
        <v>161</v>
      </c>
      <c r="L109" s="9" t="s">
        <v>41</v>
      </c>
      <c r="M109" s="9" t="s">
        <v>162</v>
      </c>
      <c r="N109" s="8">
        <v>50</v>
      </c>
      <c r="O109" s="8" t="s">
        <v>28</v>
      </c>
      <c r="P109" s="9" t="s">
        <v>163</v>
      </c>
      <c r="Q109" s="8" t="s">
        <v>30</v>
      </c>
      <c r="R109" s="8">
        <f>MONTH(Tabela1[[#This Row],[Data]])</f>
        <v>2</v>
      </c>
    </row>
    <row r="110" spans="1:18" ht="28" hidden="1" x14ac:dyDescent="0.35">
      <c r="A110" s="14">
        <v>46059</v>
      </c>
      <c r="B110" s="8" t="s">
        <v>36</v>
      </c>
      <c r="C110" s="9" t="s">
        <v>209</v>
      </c>
      <c r="D110" s="9" t="s">
        <v>19</v>
      </c>
      <c r="E110" s="9" t="s">
        <v>210</v>
      </c>
      <c r="F110" s="9" t="s">
        <v>54</v>
      </c>
      <c r="G110" s="8" t="s">
        <v>121</v>
      </c>
      <c r="H110" s="9" t="s">
        <v>164</v>
      </c>
      <c r="I110" s="9" t="s">
        <v>165</v>
      </c>
      <c r="J110" s="9" t="s">
        <v>166</v>
      </c>
      <c r="K110" s="9" t="s">
        <v>23</v>
      </c>
      <c r="L110" s="9" t="s">
        <v>26</v>
      </c>
      <c r="M110" s="9" t="s">
        <v>167</v>
      </c>
      <c r="N110" s="8">
        <v>20</v>
      </c>
      <c r="O110" s="8" t="s">
        <v>80</v>
      </c>
      <c r="P110" s="9" t="s">
        <v>168</v>
      </c>
      <c r="Q110" s="8" t="s">
        <v>30</v>
      </c>
      <c r="R110" s="8">
        <f>MONTH(Tabela1[[#This Row],[Data]])</f>
        <v>2</v>
      </c>
    </row>
    <row r="111" spans="1:18" ht="42" hidden="1" x14ac:dyDescent="0.35">
      <c r="A111" s="14">
        <v>46060</v>
      </c>
      <c r="B111" s="8" t="s">
        <v>50</v>
      </c>
      <c r="C111" s="9" t="s">
        <v>238</v>
      </c>
      <c r="D111" s="9" t="s">
        <v>52</v>
      </c>
      <c r="E111" s="9" t="s">
        <v>239</v>
      </c>
      <c r="F111" s="9" t="s">
        <v>60</v>
      </c>
      <c r="G111" s="8" t="s">
        <v>61</v>
      </c>
      <c r="H111" s="9" t="s">
        <v>62</v>
      </c>
      <c r="I111" s="9" t="s">
        <v>63</v>
      </c>
      <c r="J111" s="9" t="s">
        <v>64</v>
      </c>
      <c r="K111" s="9" t="s">
        <v>65</v>
      </c>
      <c r="L111" s="9" t="s">
        <v>240</v>
      </c>
      <c r="M111" s="9" t="s">
        <v>241</v>
      </c>
      <c r="N111" s="8">
        <v>70</v>
      </c>
      <c r="O111" s="8" t="s">
        <v>28</v>
      </c>
      <c r="P111" s="9" t="s">
        <v>68</v>
      </c>
      <c r="Q111" s="8" t="s">
        <v>30</v>
      </c>
      <c r="R111" s="8">
        <f>MONTH(Tabela1[[#This Row],[Data]])</f>
        <v>2</v>
      </c>
    </row>
    <row r="112" spans="1:18" ht="42" hidden="1" x14ac:dyDescent="0.35">
      <c r="A112" s="14">
        <v>46060</v>
      </c>
      <c r="B112" s="8" t="s">
        <v>50</v>
      </c>
      <c r="C112" s="9" t="s">
        <v>238</v>
      </c>
      <c r="D112" s="9" t="s">
        <v>52</v>
      </c>
      <c r="E112" s="9" t="s">
        <v>239</v>
      </c>
      <c r="F112" s="9" t="s">
        <v>60</v>
      </c>
      <c r="G112" s="8" t="s">
        <v>61</v>
      </c>
      <c r="H112" s="9" t="s">
        <v>69</v>
      </c>
      <c r="I112" s="9" t="s">
        <v>70</v>
      </c>
      <c r="J112" s="9" t="s">
        <v>71</v>
      </c>
      <c r="K112" s="9" t="s">
        <v>72</v>
      </c>
      <c r="L112" s="9" t="s">
        <v>26</v>
      </c>
      <c r="M112" s="9" t="s">
        <v>73</v>
      </c>
      <c r="N112" s="8">
        <v>80</v>
      </c>
      <c r="O112" s="8" t="s">
        <v>28</v>
      </c>
      <c r="P112" s="9" t="s">
        <v>74</v>
      </c>
      <c r="Q112" s="8" t="s">
        <v>30</v>
      </c>
      <c r="R112" s="8">
        <f>MONTH(Tabela1[[#This Row],[Data]])</f>
        <v>2</v>
      </c>
    </row>
    <row r="113" spans="1:18" ht="42" hidden="1" x14ac:dyDescent="0.35">
      <c r="A113" s="14">
        <v>46060</v>
      </c>
      <c r="B113" s="8" t="s">
        <v>50</v>
      </c>
      <c r="C113" s="9" t="s">
        <v>238</v>
      </c>
      <c r="D113" s="9" t="s">
        <v>52</v>
      </c>
      <c r="E113" s="9" t="s">
        <v>239</v>
      </c>
      <c r="F113" s="9" t="s">
        <v>60</v>
      </c>
      <c r="G113" s="8" t="s">
        <v>61</v>
      </c>
      <c r="H113" s="9" t="s">
        <v>75</v>
      </c>
      <c r="I113" s="9" t="s">
        <v>76</v>
      </c>
      <c r="J113" s="9" t="s">
        <v>77</v>
      </c>
      <c r="K113" s="9" t="s">
        <v>78</v>
      </c>
      <c r="L113" s="9" t="s">
        <v>26</v>
      </c>
      <c r="M113" s="9" t="s">
        <v>79</v>
      </c>
      <c r="N113" s="8">
        <v>35</v>
      </c>
      <c r="O113" s="8" t="s">
        <v>80</v>
      </c>
      <c r="P113" s="9" t="s">
        <v>81</v>
      </c>
      <c r="Q113" s="8" t="s">
        <v>30</v>
      </c>
      <c r="R113" s="8">
        <f>MONTH(Tabela1[[#This Row],[Data]])</f>
        <v>2</v>
      </c>
    </row>
    <row r="114" spans="1:18" ht="56" hidden="1" x14ac:dyDescent="0.35">
      <c r="A114" s="14">
        <v>46062</v>
      </c>
      <c r="B114" s="8" t="s">
        <v>83</v>
      </c>
      <c r="C114" s="9" t="s">
        <v>238</v>
      </c>
      <c r="D114" s="9" t="s">
        <v>84</v>
      </c>
      <c r="E114" s="9" t="s">
        <v>239</v>
      </c>
      <c r="F114" s="9" t="s">
        <v>85</v>
      </c>
      <c r="G114" s="8" t="s">
        <v>86</v>
      </c>
      <c r="H114" s="9" t="s">
        <v>87</v>
      </c>
      <c r="I114" s="9" t="s">
        <v>88</v>
      </c>
      <c r="J114" s="9" t="s">
        <v>89</v>
      </c>
      <c r="K114" s="9" t="s">
        <v>90</v>
      </c>
      <c r="L114" s="9" t="s">
        <v>91</v>
      </c>
      <c r="M114" s="9" t="s">
        <v>243</v>
      </c>
      <c r="N114" s="8">
        <v>150</v>
      </c>
      <c r="O114" s="8" t="s">
        <v>28</v>
      </c>
      <c r="P114" s="9" t="s">
        <v>93</v>
      </c>
      <c r="Q114" s="8" t="s">
        <v>30</v>
      </c>
      <c r="R114" s="8">
        <f>MONTH(Tabela1[[#This Row],[Data]])</f>
        <v>2</v>
      </c>
    </row>
    <row r="115" spans="1:18" ht="28" hidden="1" x14ac:dyDescent="0.35">
      <c r="A115" s="14">
        <v>46062</v>
      </c>
      <c r="B115" s="8" t="s">
        <v>83</v>
      </c>
      <c r="C115" s="9" t="s">
        <v>238</v>
      </c>
      <c r="D115" s="9" t="s">
        <v>84</v>
      </c>
      <c r="E115" s="9" t="s">
        <v>239</v>
      </c>
      <c r="F115" s="9" t="s">
        <v>85</v>
      </c>
      <c r="G115" s="8" t="s">
        <v>86</v>
      </c>
      <c r="H115" s="9" t="s">
        <v>94</v>
      </c>
      <c r="I115" s="9" t="s">
        <v>95</v>
      </c>
      <c r="J115" s="9" t="s">
        <v>96</v>
      </c>
      <c r="K115" s="9" t="s">
        <v>97</v>
      </c>
      <c r="L115" s="9" t="s">
        <v>98</v>
      </c>
      <c r="M115" s="9" t="s">
        <v>99</v>
      </c>
      <c r="N115" s="8">
        <v>60</v>
      </c>
      <c r="O115" s="8" t="s">
        <v>28</v>
      </c>
      <c r="P115" s="9" t="s">
        <v>100</v>
      </c>
      <c r="Q115" s="8" t="s">
        <v>30</v>
      </c>
      <c r="R115" s="8">
        <f>MONTH(Tabela1[[#This Row],[Data]])</f>
        <v>2</v>
      </c>
    </row>
    <row r="116" spans="1:18" ht="56" hidden="1" x14ac:dyDescent="0.35">
      <c r="A116" s="14">
        <v>46062</v>
      </c>
      <c r="B116" s="8" t="s">
        <v>83</v>
      </c>
      <c r="C116" s="9" t="s">
        <v>238</v>
      </c>
      <c r="D116" s="9" t="s">
        <v>84</v>
      </c>
      <c r="E116" s="9" t="s">
        <v>239</v>
      </c>
      <c r="F116" s="9" t="s">
        <v>85</v>
      </c>
      <c r="G116" s="8" t="s">
        <v>86</v>
      </c>
      <c r="H116" s="9" t="s">
        <v>101</v>
      </c>
      <c r="I116" s="9" t="s">
        <v>102</v>
      </c>
      <c r="J116" s="9" t="s">
        <v>103</v>
      </c>
      <c r="K116" s="9" t="s">
        <v>101</v>
      </c>
      <c r="L116" s="9" t="s">
        <v>104</v>
      </c>
      <c r="M116" s="9" t="s">
        <v>105</v>
      </c>
      <c r="N116" s="8">
        <v>60</v>
      </c>
      <c r="O116" s="8" t="s">
        <v>28</v>
      </c>
      <c r="P116" s="9" t="s">
        <v>106</v>
      </c>
      <c r="Q116" s="8" t="s">
        <v>30</v>
      </c>
      <c r="R116" s="8">
        <f>MONTH(Tabela1[[#This Row],[Data]])</f>
        <v>2</v>
      </c>
    </row>
    <row r="117" spans="1:18" ht="28" hidden="1" x14ac:dyDescent="0.35">
      <c r="A117" s="14">
        <v>46062</v>
      </c>
      <c r="B117" s="8" t="s">
        <v>83</v>
      </c>
      <c r="C117" s="9" t="s">
        <v>238</v>
      </c>
      <c r="D117" s="9" t="s">
        <v>84</v>
      </c>
      <c r="E117" s="9" t="s">
        <v>239</v>
      </c>
      <c r="F117" s="9" t="s">
        <v>85</v>
      </c>
      <c r="G117" s="8" t="s">
        <v>86</v>
      </c>
      <c r="H117" s="9" t="s">
        <v>107</v>
      </c>
      <c r="I117" s="9" t="s">
        <v>108</v>
      </c>
      <c r="J117" s="9" t="s">
        <v>109</v>
      </c>
      <c r="K117" s="9" t="s">
        <v>110</v>
      </c>
      <c r="L117" s="9" t="s">
        <v>111</v>
      </c>
      <c r="M117" s="9" t="s">
        <v>112</v>
      </c>
      <c r="N117" s="8">
        <v>90</v>
      </c>
      <c r="O117" s="8" t="s">
        <v>28</v>
      </c>
      <c r="P117" s="9" t="s">
        <v>113</v>
      </c>
      <c r="Q117" s="8" t="s">
        <v>30</v>
      </c>
      <c r="R117" s="8">
        <f>MONTH(Tabela1[[#This Row],[Data]])</f>
        <v>2</v>
      </c>
    </row>
    <row r="118" spans="1:18" ht="42" hidden="1" x14ac:dyDescent="0.35">
      <c r="A118" s="14">
        <v>46062</v>
      </c>
      <c r="B118" s="8" t="s">
        <v>83</v>
      </c>
      <c r="C118" s="9" t="s">
        <v>238</v>
      </c>
      <c r="D118" s="9" t="s">
        <v>84</v>
      </c>
      <c r="E118" s="9" t="s">
        <v>239</v>
      </c>
      <c r="F118" s="9" t="s">
        <v>54</v>
      </c>
      <c r="G118" s="8" t="s">
        <v>114</v>
      </c>
      <c r="H118" s="9" t="s">
        <v>175</v>
      </c>
      <c r="I118" s="9" t="s">
        <v>176</v>
      </c>
      <c r="J118" s="9" t="s">
        <v>177</v>
      </c>
      <c r="K118" s="9" t="s">
        <v>178</v>
      </c>
      <c r="L118" s="9" t="s">
        <v>179</v>
      </c>
      <c r="M118" s="9" t="s">
        <v>180</v>
      </c>
      <c r="N118" s="8">
        <v>35</v>
      </c>
      <c r="O118" s="8" t="s">
        <v>28</v>
      </c>
      <c r="P118" s="9" t="s">
        <v>181</v>
      </c>
      <c r="Q118" s="8" t="s">
        <v>30</v>
      </c>
      <c r="R118" s="8">
        <f>MONTH(Tabela1[[#This Row],[Data]])</f>
        <v>2</v>
      </c>
    </row>
    <row r="119" spans="1:18" ht="42" hidden="1" x14ac:dyDescent="0.35">
      <c r="A119" s="14">
        <v>46063</v>
      </c>
      <c r="B119" s="8" t="s">
        <v>120</v>
      </c>
      <c r="C119" s="9" t="s">
        <v>238</v>
      </c>
      <c r="D119" s="9" t="s">
        <v>19</v>
      </c>
      <c r="E119" s="9" t="s">
        <v>239</v>
      </c>
      <c r="F119" s="9" t="s">
        <v>54</v>
      </c>
      <c r="G119" s="8" t="s">
        <v>121</v>
      </c>
      <c r="H119" s="9" t="s">
        <v>44</v>
      </c>
      <c r="I119" s="9" t="s">
        <v>122</v>
      </c>
      <c r="J119" s="9" t="s">
        <v>123</v>
      </c>
      <c r="K119" s="9" t="s">
        <v>47</v>
      </c>
      <c r="L119" s="9" t="s">
        <v>124</v>
      </c>
      <c r="M119" s="9" t="s">
        <v>125</v>
      </c>
      <c r="N119" s="8">
        <v>30</v>
      </c>
      <c r="O119" s="8" t="s">
        <v>28</v>
      </c>
      <c r="P119" s="9" t="s">
        <v>126</v>
      </c>
      <c r="Q119" s="8" t="s">
        <v>30</v>
      </c>
      <c r="R119" s="8">
        <f>MONTH(Tabela1[[#This Row],[Data]])</f>
        <v>2</v>
      </c>
    </row>
    <row r="120" spans="1:18" ht="42" hidden="1" x14ac:dyDescent="0.35">
      <c r="A120" s="14">
        <v>46063</v>
      </c>
      <c r="B120" s="8" t="s">
        <v>120</v>
      </c>
      <c r="C120" s="9" t="s">
        <v>238</v>
      </c>
      <c r="D120" s="9" t="s">
        <v>19</v>
      </c>
      <c r="E120" s="9" t="s">
        <v>239</v>
      </c>
      <c r="F120" s="9" t="s">
        <v>54</v>
      </c>
      <c r="G120" s="8" t="s">
        <v>114</v>
      </c>
      <c r="H120" s="9" t="s">
        <v>44</v>
      </c>
      <c r="I120" s="9" t="s">
        <v>127</v>
      </c>
      <c r="J120" s="9" t="s">
        <v>128</v>
      </c>
      <c r="K120" s="9" t="s">
        <v>47</v>
      </c>
      <c r="L120" s="9" t="s">
        <v>129</v>
      </c>
      <c r="M120" s="9" t="s">
        <v>244</v>
      </c>
      <c r="N120" s="8">
        <v>30</v>
      </c>
      <c r="O120" s="8" t="s">
        <v>28</v>
      </c>
      <c r="P120" s="9" t="s">
        <v>131</v>
      </c>
      <c r="Q120" s="8" t="s">
        <v>30</v>
      </c>
      <c r="R120" s="8">
        <f>MONTH(Tabela1[[#This Row],[Data]])</f>
        <v>2</v>
      </c>
    </row>
    <row r="121" spans="1:18" ht="28" hidden="1" x14ac:dyDescent="0.35">
      <c r="A121" s="14">
        <v>46063</v>
      </c>
      <c r="B121" s="8" t="s">
        <v>120</v>
      </c>
      <c r="C121" s="9" t="s">
        <v>238</v>
      </c>
      <c r="D121" s="9" t="s">
        <v>19</v>
      </c>
      <c r="E121" s="9" t="s">
        <v>239</v>
      </c>
      <c r="F121" s="9" t="s">
        <v>54</v>
      </c>
      <c r="G121" s="8" t="s">
        <v>121</v>
      </c>
      <c r="H121" s="9" t="s">
        <v>132</v>
      </c>
      <c r="I121" s="9" t="s">
        <v>133</v>
      </c>
      <c r="J121" s="9" t="s">
        <v>134</v>
      </c>
      <c r="K121" s="9" t="s">
        <v>101</v>
      </c>
      <c r="L121" s="9" t="s">
        <v>135</v>
      </c>
      <c r="M121" s="9" t="s">
        <v>136</v>
      </c>
      <c r="N121" s="8">
        <v>20</v>
      </c>
      <c r="O121" s="8" t="s">
        <v>80</v>
      </c>
      <c r="P121" s="9" t="s">
        <v>137</v>
      </c>
      <c r="Q121" s="8" t="s">
        <v>30</v>
      </c>
      <c r="R121" s="8">
        <f>MONTH(Tabela1[[#This Row],[Data]])</f>
        <v>2</v>
      </c>
    </row>
    <row r="122" spans="1:18" ht="28" hidden="1" x14ac:dyDescent="0.35">
      <c r="A122" s="14">
        <v>46064</v>
      </c>
      <c r="B122" s="8" t="s">
        <v>138</v>
      </c>
      <c r="C122" s="9" t="s">
        <v>238</v>
      </c>
      <c r="D122" s="9" t="s">
        <v>19</v>
      </c>
      <c r="E122" s="9" t="s">
        <v>239</v>
      </c>
      <c r="F122" s="9" t="s">
        <v>54</v>
      </c>
      <c r="G122" s="8" t="s">
        <v>114</v>
      </c>
      <c r="H122" s="9" t="s">
        <v>37</v>
      </c>
      <c r="I122" s="9" t="s">
        <v>139</v>
      </c>
      <c r="J122" s="9" t="s">
        <v>140</v>
      </c>
      <c r="K122" s="9" t="s">
        <v>141</v>
      </c>
      <c r="L122" s="9" t="s">
        <v>41</v>
      </c>
      <c r="M122" s="9" t="s">
        <v>142</v>
      </c>
      <c r="N122" s="8">
        <v>35</v>
      </c>
      <c r="O122" s="8" t="s">
        <v>28</v>
      </c>
      <c r="P122" s="9" t="s">
        <v>143</v>
      </c>
      <c r="Q122" s="8" t="s">
        <v>30</v>
      </c>
      <c r="R122" s="8">
        <f>MONTH(Tabela1[[#This Row],[Data]])</f>
        <v>2</v>
      </c>
    </row>
    <row r="123" spans="1:18" ht="42" hidden="1" x14ac:dyDescent="0.35">
      <c r="A123" s="14">
        <v>46064</v>
      </c>
      <c r="B123" s="8" t="s">
        <v>138</v>
      </c>
      <c r="C123" s="9" t="s">
        <v>238</v>
      </c>
      <c r="D123" s="9" t="s">
        <v>19</v>
      </c>
      <c r="E123" s="9" t="s">
        <v>239</v>
      </c>
      <c r="F123" s="9" t="s">
        <v>54</v>
      </c>
      <c r="G123" s="8" t="s">
        <v>114</v>
      </c>
      <c r="H123" s="9" t="s">
        <v>75</v>
      </c>
      <c r="I123" s="9" t="s">
        <v>144</v>
      </c>
      <c r="J123" s="9" t="s">
        <v>145</v>
      </c>
      <c r="K123" s="9" t="s">
        <v>47</v>
      </c>
      <c r="L123" s="9" t="s">
        <v>26</v>
      </c>
      <c r="M123" s="9" t="s">
        <v>146</v>
      </c>
      <c r="N123" s="8">
        <v>30</v>
      </c>
      <c r="O123" s="8" t="s">
        <v>28</v>
      </c>
      <c r="P123" s="9" t="s">
        <v>147</v>
      </c>
      <c r="Q123" s="8" t="s">
        <v>30</v>
      </c>
      <c r="R123" s="8">
        <f>MONTH(Tabela1[[#This Row],[Data]])</f>
        <v>2</v>
      </c>
    </row>
    <row r="124" spans="1:18" ht="42" hidden="1" x14ac:dyDescent="0.35">
      <c r="A124" s="14">
        <v>46064</v>
      </c>
      <c r="B124" s="8" t="s">
        <v>138</v>
      </c>
      <c r="C124" s="9" t="s">
        <v>238</v>
      </c>
      <c r="D124" s="9" t="s">
        <v>19</v>
      </c>
      <c r="E124" s="9" t="s">
        <v>239</v>
      </c>
      <c r="F124" s="9" t="s">
        <v>54</v>
      </c>
      <c r="G124" s="8" t="s">
        <v>114</v>
      </c>
      <c r="H124" s="9" t="s">
        <v>44</v>
      </c>
      <c r="I124" s="9" t="s">
        <v>183</v>
      </c>
      <c r="J124" s="9" t="s">
        <v>184</v>
      </c>
      <c r="K124" s="9" t="s">
        <v>47</v>
      </c>
      <c r="L124" s="9" t="s">
        <v>185</v>
      </c>
      <c r="M124" s="9" t="s">
        <v>186</v>
      </c>
      <c r="N124" s="8">
        <v>25</v>
      </c>
      <c r="O124" s="8" t="s">
        <v>28</v>
      </c>
      <c r="P124" s="9" t="s">
        <v>187</v>
      </c>
      <c r="Q124" s="8" t="s">
        <v>30</v>
      </c>
      <c r="R124" s="8">
        <f>MONTH(Tabela1[[#This Row],[Data]])</f>
        <v>2</v>
      </c>
    </row>
    <row r="125" spans="1:18" ht="42" hidden="1" x14ac:dyDescent="0.35">
      <c r="A125" s="14">
        <v>46065</v>
      </c>
      <c r="B125" s="8" t="s">
        <v>17</v>
      </c>
      <c r="C125" s="9" t="s">
        <v>238</v>
      </c>
      <c r="D125" s="9" t="s">
        <v>19</v>
      </c>
      <c r="E125" s="9" t="s">
        <v>239</v>
      </c>
      <c r="F125" s="9" t="s">
        <v>54</v>
      </c>
      <c r="G125" s="8" t="s">
        <v>121</v>
      </c>
      <c r="H125" s="9" t="s">
        <v>132</v>
      </c>
      <c r="I125" s="9" t="s">
        <v>148</v>
      </c>
      <c r="J125" s="9" t="s">
        <v>149</v>
      </c>
      <c r="K125" s="9" t="s">
        <v>150</v>
      </c>
      <c r="L125" s="9" t="s">
        <v>151</v>
      </c>
      <c r="M125" s="9" t="s">
        <v>152</v>
      </c>
      <c r="N125" s="8">
        <v>40</v>
      </c>
      <c r="O125" s="8" t="s">
        <v>28</v>
      </c>
      <c r="P125" s="9" t="s">
        <v>153</v>
      </c>
      <c r="Q125" s="8" t="s">
        <v>30</v>
      </c>
      <c r="R125" s="8">
        <f>MONTH(Tabela1[[#This Row],[Data]])</f>
        <v>2</v>
      </c>
    </row>
    <row r="126" spans="1:18" ht="42" hidden="1" x14ac:dyDescent="0.35">
      <c r="A126" s="14">
        <v>46065</v>
      </c>
      <c r="B126" s="8" t="s">
        <v>17</v>
      </c>
      <c r="C126" s="9" t="s">
        <v>238</v>
      </c>
      <c r="D126" s="9" t="s">
        <v>19</v>
      </c>
      <c r="E126" s="9" t="s">
        <v>239</v>
      </c>
      <c r="F126" s="9" t="s">
        <v>54</v>
      </c>
      <c r="G126" s="8" t="s">
        <v>121</v>
      </c>
      <c r="H126" s="9" t="s">
        <v>44</v>
      </c>
      <c r="I126" s="9" t="s">
        <v>154</v>
      </c>
      <c r="J126" s="9" t="s">
        <v>155</v>
      </c>
      <c r="K126" s="9" t="s">
        <v>47</v>
      </c>
      <c r="L126" s="9" t="s">
        <v>41</v>
      </c>
      <c r="M126" s="9" t="s">
        <v>156</v>
      </c>
      <c r="N126" s="8">
        <v>25</v>
      </c>
      <c r="O126" s="8" t="s">
        <v>80</v>
      </c>
      <c r="P126" s="9" t="s">
        <v>157</v>
      </c>
      <c r="Q126" s="8" t="s">
        <v>30</v>
      </c>
      <c r="R126" s="8">
        <f>MONTH(Tabela1[[#This Row],[Data]])</f>
        <v>2</v>
      </c>
    </row>
    <row r="127" spans="1:18" ht="42" hidden="1" x14ac:dyDescent="0.35">
      <c r="A127" s="14">
        <v>46066</v>
      </c>
      <c r="B127" s="8" t="s">
        <v>36</v>
      </c>
      <c r="C127" s="9" t="s">
        <v>238</v>
      </c>
      <c r="D127" s="9" t="s">
        <v>19</v>
      </c>
      <c r="E127" s="9" t="s">
        <v>239</v>
      </c>
      <c r="F127" s="9" t="s">
        <v>54</v>
      </c>
      <c r="G127" s="8" t="s">
        <v>114</v>
      </c>
      <c r="H127" s="9" t="s">
        <v>158</v>
      </c>
      <c r="I127" s="9" t="s">
        <v>159</v>
      </c>
      <c r="J127" s="9" t="s">
        <v>160</v>
      </c>
      <c r="K127" s="9" t="s">
        <v>161</v>
      </c>
      <c r="L127" s="9" t="s">
        <v>41</v>
      </c>
      <c r="M127" s="9" t="s">
        <v>162</v>
      </c>
      <c r="N127" s="8">
        <v>50</v>
      </c>
      <c r="O127" s="8" t="s">
        <v>28</v>
      </c>
      <c r="P127" s="9" t="s">
        <v>163</v>
      </c>
      <c r="Q127" s="8" t="s">
        <v>30</v>
      </c>
      <c r="R127" s="8">
        <f>MONTH(Tabela1[[#This Row],[Data]])</f>
        <v>2</v>
      </c>
    </row>
    <row r="128" spans="1:18" ht="42" hidden="1" x14ac:dyDescent="0.35">
      <c r="A128" s="14">
        <v>46066</v>
      </c>
      <c r="B128" s="8" t="s">
        <v>36</v>
      </c>
      <c r="C128" s="9" t="s">
        <v>238</v>
      </c>
      <c r="D128" s="9" t="s">
        <v>19</v>
      </c>
      <c r="E128" s="9" t="s">
        <v>239</v>
      </c>
      <c r="F128" s="9" t="s">
        <v>54</v>
      </c>
      <c r="G128" s="8" t="s">
        <v>114</v>
      </c>
      <c r="H128" s="9" t="s">
        <v>188</v>
      </c>
      <c r="I128" s="9" t="s">
        <v>189</v>
      </c>
      <c r="J128" s="9" t="s">
        <v>190</v>
      </c>
      <c r="K128" s="9" t="s">
        <v>191</v>
      </c>
      <c r="L128" s="9" t="s">
        <v>192</v>
      </c>
      <c r="M128" s="9" t="s">
        <v>193</v>
      </c>
      <c r="N128" s="8">
        <v>35</v>
      </c>
      <c r="O128" s="8" t="s">
        <v>28</v>
      </c>
      <c r="P128" s="9" t="s">
        <v>194</v>
      </c>
      <c r="Q128" s="8" t="s">
        <v>30</v>
      </c>
      <c r="R128" s="8">
        <f>MONTH(Tabela1[[#This Row],[Data]])</f>
        <v>2</v>
      </c>
    </row>
    <row r="129" spans="1:18" ht="28" hidden="1" x14ac:dyDescent="0.35">
      <c r="A129" s="14">
        <v>46066</v>
      </c>
      <c r="B129" s="8" t="s">
        <v>36</v>
      </c>
      <c r="C129" s="9" t="s">
        <v>238</v>
      </c>
      <c r="D129" s="9" t="s">
        <v>19</v>
      </c>
      <c r="E129" s="9" t="s">
        <v>239</v>
      </c>
      <c r="F129" s="9" t="s">
        <v>54</v>
      </c>
      <c r="G129" s="8" t="s">
        <v>121</v>
      </c>
      <c r="H129" s="9" t="s">
        <v>164</v>
      </c>
      <c r="I129" s="9" t="s">
        <v>165</v>
      </c>
      <c r="J129" s="9" t="s">
        <v>166</v>
      </c>
      <c r="K129" s="9" t="s">
        <v>23</v>
      </c>
      <c r="L129" s="9" t="s">
        <v>26</v>
      </c>
      <c r="M129" s="9" t="s">
        <v>167</v>
      </c>
      <c r="N129" s="8">
        <v>20</v>
      </c>
      <c r="O129" s="8" t="s">
        <v>80</v>
      </c>
      <c r="P129" s="9" t="s">
        <v>168</v>
      </c>
      <c r="Q129" s="8" t="s">
        <v>30</v>
      </c>
      <c r="R129" s="8">
        <f>MONTH(Tabela1[[#This Row],[Data]])</f>
        <v>2</v>
      </c>
    </row>
    <row r="130" spans="1:18" ht="42" hidden="1" x14ac:dyDescent="0.35">
      <c r="A130" s="14">
        <v>46067</v>
      </c>
      <c r="B130" s="8" t="s">
        <v>50</v>
      </c>
      <c r="C130" s="9" t="s">
        <v>245</v>
      </c>
      <c r="D130" s="9" t="s">
        <v>52</v>
      </c>
      <c r="E130" s="9" t="s">
        <v>246</v>
      </c>
      <c r="F130" s="9" t="s">
        <v>60</v>
      </c>
      <c r="G130" s="8" t="s">
        <v>61</v>
      </c>
      <c r="H130" s="9" t="s">
        <v>62</v>
      </c>
      <c r="I130" s="9" t="s">
        <v>63</v>
      </c>
      <c r="J130" s="9" t="s">
        <v>64</v>
      </c>
      <c r="K130" s="9" t="s">
        <v>65</v>
      </c>
      <c r="L130" s="9" t="s">
        <v>247</v>
      </c>
      <c r="M130" s="9" t="s">
        <v>248</v>
      </c>
      <c r="N130" s="8">
        <v>70</v>
      </c>
      <c r="O130" s="8" t="s">
        <v>28</v>
      </c>
      <c r="P130" s="9" t="s">
        <v>68</v>
      </c>
      <c r="Q130" s="8" t="s">
        <v>30</v>
      </c>
      <c r="R130" s="8">
        <f>MONTH(Tabela1[[#This Row],[Data]])</f>
        <v>2</v>
      </c>
    </row>
    <row r="131" spans="1:18" ht="42" hidden="1" x14ac:dyDescent="0.35">
      <c r="A131" s="14">
        <v>46067</v>
      </c>
      <c r="B131" s="8" t="s">
        <v>50</v>
      </c>
      <c r="C131" s="9" t="s">
        <v>245</v>
      </c>
      <c r="D131" s="9" t="s">
        <v>52</v>
      </c>
      <c r="E131" s="9" t="s">
        <v>246</v>
      </c>
      <c r="F131" s="9" t="s">
        <v>60</v>
      </c>
      <c r="G131" s="8" t="s">
        <v>61</v>
      </c>
      <c r="H131" s="9" t="s">
        <v>69</v>
      </c>
      <c r="I131" s="9" t="s">
        <v>70</v>
      </c>
      <c r="J131" s="9" t="s">
        <v>71</v>
      </c>
      <c r="K131" s="9" t="s">
        <v>72</v>
      </c>
      <c r="L131" s="9" t="s">
        <v>26</v>
      </c>
      <c r="M131" s="9" t="s">
        <v>73</v>
      </c>
      <c r="N131" s="8">
        <v>80</v>
      </c>
      <c r="O131" s="8" t="s">
        <v>28</v>
      </c>
      <c r="P131" s="9" t="s">
        <v>74</v>
      </c>
      <c r="Q131" s="8" t="s">
        <v>30</v>
      </c>
      <c r="R131" s="8">
        <f>MONTH(Tabela1[[#This Row],[Data]])</f>
        <v>2</v>
      </c>
    </row>
    <row r="132" spans="1:18" ht="42" hidden="1" x14ac:dyDescent="0.35">
      <c r="A132" s="14">
        <v>46067</v>
      </c>
      <c r="B132" s="8" t="s">
        <v>50</v>
      </c>
      <c r="C132" s="9" t="s">
        <v>245</v>
      </c>
      <c r="D132" s="9" t="s">
        <v>52</v>
      </c>
      <c r="E132" s="9" t="s">
        <v>246</v>
      </c>
      <c r="F132" s="9" t="s">
        <v>60</v>
      </c>
      <c r="G132" s="8" t="s">
        <v>61</v>
      </c>
      <c r="H132" s="9" t="s">
        <v>75</v>
      </c>
      <c r="I132" s="9" t="s">
        <v>76</v>
      </c>
      <c r="J132" s="9" t="s">
        <v>77</v>
      </c>
      <c r="K132" s="9" t="s">
        <v>78</v>
      </c>
      <c r="L132" s="9" t="s">
        <v>26</v>
      </c>
      <c r="M132" s="9" t="s">
        <v>79</v>
      </c>
      <c r="N132" s="8">
        <v>35</v>
      </c>
      <c r="O132" s="8" t="s">
        <v>80</v>
      </c>
      <c r="P132" s="9" t="s">
        <v>81</v>
      </c>
      <c r="Q132" s="8" t="s">
        <v>30</v>
      </c>
      <c r="R132" s="8">
        <f>MONTH(Tabela1[[#This Row],[Data]])</f>
        <v>2</v>
      </c>
    </row>
    <row r="133" spans="1:18" ht="42" hidden="1" x14ac:dyDescent="0.35">
      <c r="A133" s="14">
        <v>46069</v>
      </c>
      <c r="B133" s="8" t="s">
        <v>83</v>
      </c>
      <c r="C133" s="9" t="s">
        <v>245</v>
      </c>
      <c r="D133" s="9" t="s">
        <v>84</v>
      </c>
      <c r="E133" s="9" t="s">
        <v>246</v>
      </c>
      <c r="F133" s="9" t="s">
        <v>85</v>
      </c>
      <c r="G133" s="8" t="s">
        <v>86</v>
      </c>
      <c r="H133" s="9" t="s">
        <v>87</v>
      </c>
      <c r="I133" s="9" t="s">
        <v>88</v>
      </c>
      <c r="J133" s="9" t="s">
        <v>89</v>
      </c>
      <c r="K133" s="9" t="s">
        <v>90</v>
      </c>
      <c r="L133" s="9" t="s">
        <v>91</v>
      </c>
      <c r="M133" s="9" t="s">
        <v>250</v>
      </c>
      <c r="N133" s="8">
        <v>150</v>
      </c>
      <c r="O133" s="8" t="s">
        <v>28</v>
      </c>
      <c r="P133" s="9" t="s">
        <v>93</v>
      </c>
      <c r="Q133" s="8" t="s">
        <v>30</v>
      </c>
      <c r="R133" s="8">
        <f>MONTH(Tabela1[[#This Row],[Data]])</f>
        <v>2</v>
      </c>
    </row>
    <row r="134" spans="1:18" ht="28" hidden="1" x14ac:dyDescent="0.35">
      <c r="A134" s="14">
        <v>46069</v>
      </c>
      <c r="B134" s="8" t="s">
        <v>83</v>
      </c>
      <c r="C134" s="9" t="s">
        <v>245</v>
      </c>
      <c r="D134" s="9" t="s">
        <v>84</v>
      </c>
      <c r="E134" s="9" t="s">
        <v>246</v>
      </c>
      <c r="F134" s="9" t="s">
        <v>85</v>
      </c>
      <c r="G134" s="8" t="s">
        <v>86</v>
      </c>
      <c r="H134" s="9" t="s">
        <v>94</v>
      </c>
      <c r="I134" s="9" t="s">
        <v>95</v>
      </c>
      <c r="J134" s="9" t="s">
        <v>96</v>
      </c>
      <c r="K134" s="9" t="s">
        <v>97</v>
      </c>
      <c r="L134" s="9" t="s">
        <v>98</v>
      </c>
      <c r="M134" s="9" t="s">
        <v>99</v>
      </c>
      <c r="N134" s="8">
        <v>60</v>
      </c>
      <c r="O134" s="8" t="s">
        <v>28</v>
      </c>
      <c r="P134" s="9" t="s">
        <v>100</v>
      </c>
      <c r="Q134" s="8" t="s">
        <v>30</v>
      </c>
      <c r="R134" s="8">
        <f>MONTH(Tabela1[[#This Row],[Data]])</f>
        <v>2</v>
      </c>
    </row>
    <row r="135" spans="1:18" ht="56" hidden="1" x14ac:dyDescent="0.35">
      <c r="A135" s="14">
        <v>46069</v>
      </c>
      <c r="B135" s="8" t="s">
        <v>83</v>
      </c>
      <c r="C135" s="9" t="s">
        <v>245</v>
      </c>
      <c r="D135" s="9" t="s">
        <v>84</v>
      </c>
      <c r="E135" s="9" t="s">
        <v>246</v>
      </c>
      <c r="F135" s="9" t="s">
        <v>85</v>
      </c>
      <c r="G135" s="8" t="s">
        <v>86</v>
      </c>
      <c r="H135" s="9" t="s">
        <v>101</v>
      </c>
      <c r="I135" s="9" t="s">
        <v>102</v>
      </c>
      <c r="J135" s="9" t="s">
        <v>103</v>
      </c>
      <c r="K135" s="9" t="s">
        <v>101</v>
      </c>
      <c r="L135" s="9" t="s">
        <v>104</v>
      </c>
      <c r="M135" s="9" t="s">
        <v>105</v>
      </c>
      <c r="N135" s="8">
        <v>60</v>
      </c>
      <c r="O135" s="8" t="s">
        <v>28</v>
      </c>
      <c r="P135" s="9" t="s">
        <v>106</v>
      </c>
      <c r="Q135" s="8" t="s">
        <v>30</v>
      </c>
      <c r="R135" s="8">
        <f>MONTH(Tabela1[[#This Row],[Data]])</f>
        <v>2</v>
      </c>
    </row>
    <row r="136" spans="1:18" ht="28" hidden="1" x14ac:dyDescent="0.35">
      <c r="A136" s="14">
        <v>46069</v>
      </c>
      <c r="B136" s="8" t="s">
        <v>83</v>
      </c>
      <c r="C136" s="9" t="s">
        <v>245</v>
      </c>
      <c r="D136" s="9" t="s">
        <v>84</v>
      </c>
      <c r="E136" s="9" t="s">
        <v>246</v>
      </c>
      <c r="F136" s="9" t="s">
        <v>85</v>
      </c>
      <c r="G136" s="8" t="s">
        <v>86</v>
      </c>
      <c r="H136" s="9" t="s">
        <v>107</v>
      </c>
      <c r="I136" s="9" t="s">
        <v>108</v>
      </c>
      <c r="J136" s="9" t="s">
        <v>109</v>
      </c>
      <c r="K136" s="9" t="s">
        <v>110</v>
      </c>
      <c r="L136" s="9" t="s">
        <v>111</v>
      </c>
      <c r="M136" s="9" t="s">
        <v>112</v>
      </c>
      <c r="N136" s="8">
        <v>90</v>
      </c>
      <c r="O136" s="8" t="s">
        <v>28</v>
      </c>
      <c r="P136" s="9" t="s">
        <v>113</v>
      </c>
      <c r="Q136" s="8" t="s">
        <v>30</v>
      </c>
      <c r="R136" s="8">
        <f>MONTH(Tabela1[[#This Row],[Data]])</f>
        <v>2</v>
      </c>
    </row>
    <row r="137" spans="1:18" ht="28" hidden="1" x14ac:dyDescent="0.35">
      <c r="A137" s="14">
        <v>46069</v>
      </c>
      <c r="B137" s="8" t="s">
        <v>83</v>
      </c>
      <c r="C137" s="9" t="s">
        <v>245</v>
      </c>
      <c r="D137" s="9" t="s">
        <v>84</v>
      </c>
      <c r="E137" s="9" t="s">
        <v>246</v>
      </c>
      <c r="F137" s="9" t="s">
        <v>21</v>
      </c>
      <c r="G137" s="8" t="s">
        <v>114</v>
      </c>
      <c r="H137" s="9" t="s">
        <v>115</v>
      </c>
      <c r="I137" s="9" t="s">
        <v>116</v>
      </c>
      <c r="J137" s="9" t="s">
        <v>117</v>
      </c>
      <c r="K137" s="9" t="s">
        <v>23</v>
      </c>
      <c r="L137" s="9" t="s">
        <v>26</v>
      </c>
      <c r="M137" s="9" t="s">
        <v>118</v>
      </c>
      <c r="N137" s="8">
        <v>20</v>
      </c>
      <c r="O137" s="8" t="s">
        <v>80</v>
      </c>
      <c r="P137" s="9" t="s">
        <v>119</v>
      </c>
      <c r="Q137" s="8" t="s">
        <v>30</v>
      </c>
      <c r="R137" s="8">
        <f>MONTH(Tabela1[[#This Row],[Data]])</f>
        <v>2</v>
      </c>
    </row>
    <row r="138" spans="1:18" ht="42" hidden="1" x14ac:dyDescent="0.35">
      <c r="A138" s="14">
        <v>46070</v>
      </c>
      <c r="B138" s="8" t="s">
        <v>120</v>
      </c>
      <c r="C138" s="9" t="s">
        <v>245</v>
      </c>
      <c r="D138" s="9" t="s">
        <v>19</v>
      </c>
      <c r="E138" s="9" t="s">
        <v>246</v>
      </c>
      <c r="F138" s="9" t="s">
        <v>21</v>
      </c>
      <c r="G138" s="8" t="s">
        <v>121</v>
      </c>
      <c r="H138" s="9" t="s">
        <v>44</v>
      </c>
      <c r="I138" s="9" t="s">
        <v>122</v>
      </c>
      <c r="J138" s="9" t="s">
        <v>123</v>
      </c>
      <c r="K138" s="9" t="s">
        <v>47</v>
      </c>
      <c r="L138" s="9" t="s">
        <v>124</v>
      </c>
      <c r="M138" s="9" t="s">
        <v>125</v>
      </c>
      <c r="N138" s="8">
        <v>30</v>
      </c>
      <c r="O138" s="8" t="s">
        <v>28</v>
      </c>
      <c r="P138" s="9" t="s">
        <v>126</v>
      </c>
      <c r="Q138" s="8" t="s">
        <v>30</v>
      </c>
      <c r="R138" s="8">
        <f>MONTH(Tabela1[[#This Row],[Data]])</f>
        <v>2</v>
      </c>
    </row>
    <row r="139" spans="1:18" ht="42" hidden="1" x14ac:dyDescent="0.35">
      <c r="A139" s="14">
        <v>46070</v>
      </c>
      <c r="B139" s="8" t="s">
        <v>120</v>
      </c>
      <c r="C139" s="9" t="s">
        <v>245</v>
      </c>
      <c r="D139" s="9" t="s">
        <v>19</v>
      </c>
      <c r="E139" s="9" t="s">
        <v>246</v>
      </c>
      <c r="F139" s="9" t="s">
        <v>21</v>
      </c>
      <c r="G139" s="8" t="s">
        <v>114</v>
      </c>
      <c r="H139" s="9" t="s">
        <v>44</v>
      </c>
      <c r="I139" s="9" t="s">
        <v>127</v>
      </c>
      <c r="J139" s="9" t="s">
        <v>128</v>
      </c>
      <c r="K139" s="9" t="s">
        <v>47</v>
      </c>
      <c r="L139" s="9" t="s">
        <v>129</v>
      </c>
      <c r="M139" s="9" t="s">
        <v>251</v>
      </c>
      <c r="N139" s="8">
        <v>30</v>
      </c>
      <c r="O139" s="8" t="s">
        <v>28</v>
      </c>
      <c r="P139" s="9" t="s">
        <v>131</v>
      </c>
      <c r="Q139" s="8" t="s">
        <v>30</v>
      </c>
      <c r="R139" s="8">
        <f>MONTH(Tabela1[[#This Row],[Data]])</f>
        <v>2</v>
      </c>
    </row>
    <row r="140" spans="1:18" ht="28" hidden="1" x14ac:dyDescent="0.35">
      <c r="A140" s="14">
        <v>46070</v>
      </c>
      <c r="B140" s="8" t="s">
        <v>120</v>
      </c>
      <c r="C140" s="9" t="s">
        <v>245</v>
      </c>
      <c r="D140" s="9" t="s">
        <v>19</v>
      </c>
      <c r="E140" s="9" t="s">
        <v>246</v>
      </c>
      <c r="F140" s="9" t="s">
        <v>21</v>
      </c>
      <c r="G140" s="8" t="s">
        <v>121</v>
      </c>
      <c r="H140" s="9" t="s">
        <v>132</v>
      </c>
      <c r="I140" s="9" t="s">
        <v>133</v>
      </c>
      <c r="J140" s="9" t="s">
        <v>134</v>
      </c>
      <c r="K140" s="9" t="s">
        <v>101</v>
      </c>
      <c r="L140" s="9" t="s">
        <v>135</v>
      </c>
      <c r="M140" s="9" t="s">
        <v>136</v>
      </c>
      <c r="N140" s="8">
        <v>20</v>
      </c>
      <c r="O140" s="8" t="s">
        <v>80</v>
      </c>
      <c r="P140" s="9" t="s">
        <v>137</v>
      </c>
      <c r="Q140" s="8" t="s">
        <v>30</v>
      </c>
      <c r="R140" s="8">
        <f>MONTH(Tabela1[[#This Row],[Data]])</f>
        <v>2</v>
      </c>
    </row>
    <row r="141" spans="1:18" ht="28" hidden="1" x14ac:dyDescent="0.35">
      <c r="A141" s="14">
        <v>46071</v>
      </c>
      <c r="B141" s="8" t="s">
        <v>138</v>
      </c>
      <c r="C141" s="9" t="s">
        <v>245</v>
      </c>
      <c r="D141" s="9" t="s">
        <v>19</v>
      </c>
      <c r="E141" s="9" t="s">
        <v>246</v>
      </c>
      <c r="F141" s="9" t="s">
        <v>21</v>
      </c>
      <c r="G141" s="8" t="s">
        <v>114</v>
      </c>
      <c r="H141" s="9" t="s">
        <v>37</v>
      </c>
      <c r="I141" s="9" t="s">
        <v>139</v>
      </c>
      <c r="J141" s="9" t="s">
        <v>140</v>
      </c>
      <c r="K141" s="9" t="s">
        <v>141</v>
      </c>
      <c r="L141" s="9" t="s">
        <v>41</v>
      </c>
      <c r="M141" s="9" t="s">
        <v>142</v>
      </c>
      <c r="N141" s="8">
        <v>35</v>
      </c>
      <c r="O141" s="8" t="s">
        <v>28</v>
      </c>
      <c r="P141" s="9" t="s">
        <v>143</v>
      </c>
      <c r="Q141" s="8" t="s">
        <v>30</v>
      </c>
      <c r="R141" s="8">
        <f>MONTH(Tabela1[[#This Row],[Data]])</f>
        <v>2</v>
      </c>
    </row>
    <row r="142" spans="1:18" ht="42" hidden="1" x14ac:dyDescent="0.35">
      <c r="A142" s="14">
        <v>46071</v>
      </c>
      <c r="B142" s="8" t="s">
        <v>138</v>
      </c>
      <c r="C142" s="9" t="s">
        <v>245</v>
      </c>
      <c r="D142" s="9" t="s">
        <v>19</v>
      </c>
      <c r="E142" s="9" t="s">
        <v>246</v>
      </c>
      <c r="F142" s="9" t="s">
        <v>21</v>
      </c>
      <c r="G142" s="8" t="s">
        <v>114</v>
      </c>
      <c r="H142" s="9" t="s">
        <v>75</v>
      </c>
      <c r="I142" s="9" t="s">
        <v>144</v>
      </c>
      <c r="J142" s="9" t="s">
        <v>145</v>
      </c>
      <c r="K142" s="9" t="s">
        <v>47</v>
      </c>
      <c r="L142" s="9" t="s">
        <v>26</v>
      </c>
      <c r="M142" s="9" t="s">
        <v>146</v>
      </c>
      <c r="N142" s="8">
        <v>30</v>
      </c>
      <c r="O142" s="8" t="s">
        <v>28</v>
      </c>
      <c r="P142" s="9" t="s">
        <v>147</v>
      </c>
      <c r="Q142" s="8" t="s">
        <v>30</v>
      </c>
      <c r="R142" s="8">
        <f>MONTH(Tabela1[[#This Row],[Data]])</f>
        <v>2</v>
      </c>
    </row>
    <row r="143" spans="1:18" ht="42" hidden="1" x14ac:dyDescent="0.35">
      <c r="A143" s="14">
        <v>46072</v>
      </c>
      <c r="B143" s="8" t="s">
        <v>17</v>
      </c>
      <c r="C143" s="9" t="s">
        <v>245</v>
      </c>
      <c r="D143" s="9" t="s">
        <v>19</v>
      </c>
      <c r="E143" s="9" t="s">
        <v>246</v>
      </c>
      <c r="F143" s="9" t="s">
        <v>21</v>
      </c>
      <c r="G143" s="8" t="s">
        <v>121</v>
      </c>
      <c r="H143" s="9" t="s">
        <v>132</v>
      </c>
      <c r="I143" s="9" t="s">
        <v>148</v>
      </c>
      <c r="J143" s="9" t="s">
        <v>149</v>
      </c>
      <c r="K143" s="9" t="s">
        <v>150</v>
      </c>
      <c r="L143" s="9" t="s">
        <v>151</v>
      </c>
      <c r="M143" s="9" t="s">
        <v>152</v>
      </c>
      <c r="N143" s="8">
        <v>40</v>
      </c>
      <c r="O143" s="8" t="s">
        <v>28</v>
      </c>
      <c r="P143" s="9" t="s">
        <v>153</v>
      </c>
      <c r="Q143" s="8" t="s">
        <v>30</v>
      </c>
      <c r="R143" s="8">
        <f>MONTH(Tabela1[[#This Row],[Data]])</f>
        <v>2</v>
      </c>
    </row>
    <row r="144" spans="1:18" ht="42" hidden="1" x14ac:dyDescent="0.35">
      <c r="A144" s="14">
        <v>46072</v>
      </c>
      <c r="B144" s="8" t="s">
        <v>17</v>
      </c>
      <c r="C144" s="9" t="s">
        <v>245</v>
      </c>
      <c r="D144" s="9" t="s">
        <v>19</v>
      </c>
      <c r="E144" s="9" t="s">
        <v>246</v>
      </c>
      <c r="F144" s="9" t="s">
        <v>21</v>
      </c>
      <c r="G144" s="8" t="s">
        <v>121</v>
      </c>
      <c r="H144" s="9" t="s">
        <v>44</v>
      </c>
      <c r="I144" s="9" t="s">
        <v>154</v>
      </c>
      <c r="J144" s="9" t="s">
        <v>155</v>
      </c>
      <c r="K144" s="9" t="s">
        <v>47</v>
      </c>
      <c r="L144" s="9" t="s">
        <v>41</v>
      </c>
      <c r="M144" s="9" t="s">
        <v>156</v>
      </c>
      <c r="N144" s="8">
        <v>25</v>
      </c>
      <c r="O144" s="8" t="s">
        <v>80</v>
      </c>
      <c r="P144" s="9" t="s">
        <v>157</v>
      </c>
      <c r="Q144" s="8" t="s">
        <v>30</v>
      </c>
      <c r="R144" s="8">
        <f>MONTH(Tabela1[[#This Row],[Data]])</f>
        <v>2</v>
      </c>
    </row>
    <row r="145" spans="1:18" ht="42" hidden="1" x14ac:dyDescent="0.35">
      <c r="A145" s="14">
        <v>46073</v>
      </c>
      <c r="B145" s="8" t="s">
        <v>36</v>
      </c>
      <c r="C145" s="9" t="s">
        <v>245</v>
      </c>
      <c r="D145" s="9" t="s">
        <v>19</v>
      </c>
      <c r="E145" s="9" t="s">
        <v>246</v>
      </c>
      <c r="F145" s="9" t="s">
        <v>21</v>
      </c>
      <c r="G145" s="8" t="s">
        <v>114</v>
      </c>
      <c r="H145" s="9" t="s">
        <v>158</v>
      </c>
      <c r="I145" s="9" t="s">
        <v>159</v>
      </c>
      <c r="J145" s="9" t="s">
        <v>160</v>
      </c>
      <c r="K145" s="9" t="s">
        <v>161</v>
      </c>
      <c r="L145" s="9" t="s">
        <v>41</v>
      </c>
      <c r="M145" s="9" t="s">
        <v>162</v>
      </c>
      <c r="N145" s="8">
        <v>50</v>
      </c>
      <c r="O145" s="8" t="s">
        <v>28</v>
      </c>
      <c r="P145" s="9" t="s">
        <v>163</v>
      </c>
      <c r="Q145" s="8" t="s">
        <v>30</v>
      </c>
      <c r="R145" s="8">
        <f>MONTH(Tabela1[[#This Row],[Data]])</f>
        <v>2</v>
      </c>
    </row>
    <row r="146" spans="1:18" ht="28" hidden="1" x14ac:dyDescent="0.35">
      <c r="A146" s="14">
        <v>46073</v>
      </c>
      <c r="B146" s="8" t="s">
        <v>36</v>
      </c>
      <c r="C146" s="9" t="s">
        <v>245</v>
      </c>
      <c r="D146" s="9" t="s">
        <v>19</v>
      </c>
      <c r="E146" s="9" t="s">
        <v>246</v>
      </c>
      <c r="F146" s="9" t="s">
        <v>21</v>
      </c>
      <c r="G146" s="8" t="s">
        <v>121</v>
      </c>
      <c r="H146" s="9" t="s">
        <v>164</v>
      </c>
      <c r="I146" s="9" t="s">
        <v>165</v>
      </c>
      <c r="J146" s="9" t="s">
        <v>166</v>
      </c>
      <c r="K146" s="9" t="s">
        <v>23</v>
      </c>
      <c r="L146" s="9" t="s">
        <v>26</v>
      </c>
      <c r="M146" s="9" t="s">
        <v>167</v>
      </c>
      <c r="N146" s="8">
        <v>20</v>
      </c>
      <c r="O146" s="8" t="s">
        <v>80</v>
      </c>
      <c r="P146" s="9" t="s">
        <v>168</v>
      </c>
      <c r="Q146" s="8" t="s">
        <v>30</v>
      </c>
      <c r="R146" s="8">
        <f>MONTH(Tabela1[[#This Row],[Data]])</f>
        <v>2</v>
      </c>
    </row>
    <row r="147" spans="1:18" ht="42" hidden="1" x14ac:dyDescent="0.35">
      <c r="A147" s="14">
        <v>46074</v>
      </c>
      <c r="B147" s="8" t="s">
        <v>50</v>
      </c>
      <c r="C147" s="9" t="s">
        <v>252</v>
      </c>
      <c r="D147" s="9" t="s">
        <v>52</v>
      </c>
      <c r="E147" s="9" t="s">
        <v>253</v>
      </c>
      <c r="F147" s="9" t="s">
        <v>60</v>
      </c>
      <c r="G147" s="8" t="s">
        <v>61</v>
      </c>
      <c r="H147" s="9" t="s">
        <v>62</v>
      </c>
      <c r="I147" s="9" t="s">
        <v>63</v>
      </c>
      <c r="J147" s="9" t="s">
        <v>64</v>
      </c>
      <c r="K147" s="9" t="s">
        <v>65</v>
      </c>
      <c r="L147" s="9" t="s">
        <v>254</v>
      </c>
      <c r="M147" s="9" t="s">
        <v>255</v>
      </c>
      <c r="N147" s="8">
        <v>70</v>
      </c>
      <c r="O147" s="8" t="s">
        <v>28</v>
      </c>
      <c r="P147" s="9" t="s">
        <v>68</v>
      </c>
      <c r="Q147" s="8" t="s">
        <v>30</v>
      </c>
      <c r="R147" s="8">
        <f>MONTH(Tabela1[[#This Row],[Data]])</f>
        <v>2</v>
      </c>
    </row>
    <row r="148" spans="1:18" ht="42" hidden="1" x14ac:dyDescent="0.35">
      <c r="A148" s="14">
        <v>46074</v>
      </c>
      <c r="B148" s="8" t="s">
        <v>50</v>
      </c>
      <c r="C148" s="9" t="s">
        <v>252</v>
      </c>
      <c r="D148" s="9" t="s">
        <v>52</v>
      </c>
      <c r="E148" s="9" t="s">
        <v>253</v>
      </c>
      <c r="F148" s="9" t="s">
        <v>60</v>
      </c>
      <c r="G148" s="8" t="s">
        <v>61</v>
      </c>
      <c r="H148" s="9" t="s">
        <v>69</v>
      </c>
      <c r="I148" s="9" t="s">
        <v>70</v>
      </c>
      <c r="J148" s="9" t="s">
        <v>71</v>
      </c>
      <c r="K148" s="9" t="s">
        <v>72</v>
      </c>
      <c r="L148" s="9" t="s">
        <v>26</v>
      </c>
      <c r="M148" s="9" t="s">
        <v>73</v>
      </c>
      <c r="N148" s="8">
        <v>80</v>
      </c>
      <c r="O148" s="8" t="s">
        <v>28</v>
      </c>
      <c r="P148" s="9" t="s">
        <v>74</v>
      </c>
      <c r="Q148" s="8" t="s">
        <v>30</v>
      </c>
      <c r="R148" s="8">
        <f>MONTH(Tabela1[[#This Row],[Data]])</f>
        <v>2</v>
      </c>
    </row>
    <row r="149" spans="1:18" ht="42" hidden="1" x14ac:dyDescent="0.35">
      <c r="A149" s="14">
        <v>46074</v>
      </c>
      <c r="B149" s="8" t="s">
        <v>50</v>
      </c>
      <c r="C149" s="9" t="s">
        <v>252</v>
      </c>
      <c r="D149" s="9" t="s">
        <v>52</v>
      </c>
      <c r="E149" s="9" t="s">
        <v>253</v>
      </c>
      <c r="F149" s="9" t="s">
        <v>60</v>
      </c>
      <c r="G149" s="8" t="s">
        <v>61</v>
      </c>
      <c r="H149" s="9" t="s">
        <v>75</v>
      </c>
      <c r="I149" s="9" t="s">
        <v>76</v>
      </c>
      <c r="J149" s="9" t="s">
        <v>77</v>
      </c>
      <c r="K149" s="9" t="s">
        <v>78</v>
      </c>
      <c r="L149" s="9" t="s">
        <v>26</v>
      </c>
      <c r="M149" s="9" t="s">
        <v>79</v>
      </c>
      <c r="N149" s="8">
        <v>35</v>
      </c>
      <c r="O149" s="8" t="s">
        <v>80</v>
      </c>
      <c r="P149" s="9" t="s">
        <v>81</v>
      </c>
      <c r="Q149" s="8" t="s">
        <v>30</v>
      </c>
      <c r="R149" s="8">
        <f>MONTH(Tabela1[[#This Row],[Data]])</f>
        <v>2</v>
      </c>
    </row>
    <row r="150" spans="1:18" ht="56" hidden="1" x14ac:dyDescent="0.35">
      <c r="A150" s="14">
        <v>46076</v>
      </c>
      <c r="B150" s="8" t="s">
        <v>83</v>
      </c>
      <c r="C150" s="9" t="s">
        <v>252</v>
      </c>
      <c r="D150" s="9" t="s">
        <v>84</v>
      </c>
      <c r="E150" s="9" t="s">
        <v>253</v>
      </c>
      <c r="F150" s="9" t="s">
        <v>85</v>
      </c>
      <c r="G150" s="8" t="s">
        <v>86</v>
      </c>
      <c r="H150" s="9" t="s">
        <v>87</v>
      </c>
      <c r="I150" s="9" t="s">
        <v>88</v>
      </c>
      <c r="J150" s="9" t="s">
        <v>89</v>
      </c>
      <c r="K150" s="9" t="s">
        <v>90</v>
      </c>
      <c r="L150" s="9" t="s">
        <v>91</v>
      </c>
      <c r="M150" s="9" t="s">
        <v>257</v>
      </c>
      <c r="N150" s="8">
        <v>150</v>
      </c>
      <c r="O150" s="8" t="s">
        <v>28</v>
      </c>
      <c r="P150" s="9" t="s">
        <v>93</v>
      </c>
      <c r="Q150" s="8" t="s">
        <v>30</v>
      </c>
      <c r="R150" s="8">
        <f>MONTH(Tabela1[[#This Row],[Data]])</f>
        <v>2</v>
      </c>
    </row>
    <row r="151" spans="1:18" ht="28" hidden="1" x14ac:dyDescent="0.35">
      <c r="A151" s="14">
        <v>46076</v>
      </c>
      <c r="B151" s="8" t="s">
        <v>83</v>
      </c>
      <c r="C151" s="9" t="s">
        <v>252</v>
      </c>
      <c r="D151" s="9" t="s">
        <v>84</v>
      </c>
      <c r="E151" s="9" t="s">
        <v>253</v>
      </c>
      <c r="F151" s="9" t="s">
        <v>85</v>
      </c>
      <c r="G151" s="8" t="s">
        <v>86</v>
      </c>
      <c r="H151" s="9" t="s">
        <v>94</v>
      </c>
      <c r="I151" s="9" t="s">
        <v>95</v>
      </c>
      <c r="J151" s="9" t="s">
        <v>96</v>
      </c>
      <c r="K151" s="9" t="s">
        <v>97</v>
      </c>
      <c r="L151" s="9" t="s">
        <v>98</v>
      </c>
      <c r="M151" s="9" t="s">
        <v>99</v>
      </c>
      <c r="N151" s="8">
        <v>60</v>
      </c>
      <c r="O151" s="8" t="s">
        <v>28</v>
      </c>
      <c r="P151" s="9" t="s">
        <v>100</v>
      </c>
      <c r="Q151" s="8" t="s">
        <v>30</v>
      </c>
      <c r="R151" s="8">
        <f>MONTH(Tabela1[[#This Row],[Data]])</f>
        <v>2</v>
      </c>
    </row>
    <row r="152" spans="1:18" ht="56" hidden="1" x14ac:dyDescent="0.35">
      <c r="A152" s="14">
        <v>46076</v>
      </c>
      <c r="B152" s="8" t="s">
        <v>83</v>
      </c>
      <c r="C152" s="9" t="s">
        <v>252</v>
      </c>
      <c r="D152" s="9" t="s">
        <v>84</v>
      </c>
      <c r="E152" s="9" t="s">
        <v>253</v>
      </c>
      <c r="F152" s="9" t="s">
        <v>85</v>
      </c>
      <c r="G152" s="8" t="s">
        <v>86</v>
      </c>
      <c r="H152" s="9" t="s">
        <v>101</v>
      </c>
      <c r="I152" s="9" t="s">
        <v>102</v>
      </c>
      <c r="J152" s="9" t="s">
        <v>103</v>
      </c>
      <c r="K152" s="9" t="s">
        <v>101</v>
      </c>
      <c r="L152" s="9" t="s">
        <v>104</v>
      </c>
      <c r="M152" s="9" t="s">
        <v>105</v>
      </c>
      <c r="N152" s="8">
        <v>60</v>
      </c>
      <c r="O152" s="8" t="s">
        <v>28</v>
      </c>
      <c r="P152" s="9" t="s">
        <v>106</v>
      </c>
      <c r="Q152" s="8" t="s">
        <v>30</v>
      </c>
      <c r="R152" s="8">
        <f>MONTH(Tabela1[[#This Row],[Data]])</f>
        <v>2</v>
      </c>
    </row>
    <row r="153" spans="1:18" ht="28" hidden="1" x14ac:dyDescent="0.35">
      <c r="A153" s="14">
        <v>46076</v>
      </c>
      <c r="B153" s="8" t="s">
        <v>83</v>
      </c>
      <c r="C153" s="9" t="s">
        <v>252</v>
      </c>
      <c r="D153" s="9" t="s">
        <v>84</v>
      </c>
      <c r="E153" s="9" t="s">
        <v>253</v>
      </c>
      <c r="F153" s="9" t="s">
        <v>85</v>
      </c>
      <c r="G153" s="8" t="s">
        <v>86</v>
      </c>
      <c r="H153" s="9" t="s">
        <v>107</v>
      </c>
      <c r="I153" s="9" t="s">
        <v>108</v>
      </c>
      <c r="J153" s="9" t="s">
        <v>109</v>
      </c>
      <c r="K153" s="9" t="s">
        <v>110</v>
      </c>
      <c r="L153" s="9" t="s">
        <v>111</v>
      </c>
      <c r="M153" s="9" t="s">
        <v>112</v>
      </c>
      <c r="N153" s="8">
        <v>90</v>
      </c>
      <c r="O153" s="8" t="s">
        <v>28</v>
      </c>
      <c r="P153" s="9" t="s">
        <v>113</v>
      </c>
      <c r="Q153" s="8" t="s">
        <v>30</v>
      </c>
      <c r="R153" s="8">
        <f>MONTH(Tabela1[[#This Row],[Data]])</f>
        <v>2</v>
      </c>
    </row>
    <row r="154" spans="1:18" ht="42" hidden="1" x14ac:dyDescent="0.35">
      <c r="A154" s="14">
        <v>46076</v>
      </c>
      <c r="B154" s="8" t="s">
        <v>83</v>
      </c>
      <c r="C154" s="9" t="s">
        <v>252</v>
      </c>
      <c r="D154" s="9" t="s">
        <v>84</v>
      </c>
      <c r="E154" s="9" t="s">
        <v>253</v>
      </c>
      <c r="F154" s="9" t="s">
        <v>21</v>
      </c>
      <c r="G154" s="8" t="s">
        <v>114</v>
      </c>
      <c r="H154" s="9" t="s">
        <v>175</v>
      </c>
      <c r="I154" s="9" t="s">
        <v>176</v>
      </c>
      <c r="J154" s="9" t="s">
        <v>177</v>
      </c>
      <c r="K154" s="9" t="s">
        <v>178</v>
      </c>
      <c r="L154" s="9" t="s">
        <v>179</v>
      </c>
      <c r="M154" s="9" t="s">
        <v>180</v>
      </c>
      <c r="N154" s="8">
        <v>35</v>
      </c>
      <c r="O154" s="8" t="s">
        <v>28</v>
      </c>
      <c r="P154" s="9" t="s">
        <v>181</v>
      </c>
      <c r="Q154" s="8" t="s">
        <v>30</v>
      </c>
      <c r="R154" s="8">
        <f>MONTH(Tabela1[[#This Row],[Data]])</f>
        <v>2</v>
      </c>
    </row>
    <row r="155" spans="1:18" ht="42" hidden="1" x14ac:dyDescent="0.35">
      <c r="A155" s="14">
        <v>46077</v>
      </c>
      <c r="B155" s="8" t="s">
        <v>120</v>
      </c>
      <c r="C155" s="9" t="s">
        <v>252</v>
      </c>
      <c r="D155" s="9" t="s">
        <v>19</v>
      </c>
      <c r="E155" s="9" t="s">
        <v>253</v>
      </c>
      <c r="F155" s="9" t="s">
        <v>21</v>
      </c>
      <c r="G155" s="8" t="s">
        <v>121</v>
      </c>
      <c r="H155" s="9" t="s">
        <v>44</v>
      </c>
      <c r="I155" s="9" t="s">
        <v>122</v>
      </c>
      <c r="J155" s="9" t="s">
        <v>123</v>
      </c>
      <c r="K155" s="9" t="s">
        <v>47</v>
      </c>
      <c r="L155" s="9" t="s">
        <v>124</v>
      </c>
      <c r="M155" s="9" t="s">
        <v>125</v>
      </c>
      <c r="N155" s="8">
        <v>30</v>
      </c>
      <c r="O155" s="8" t="s">
        <v>28</v>
      </c>
      <c r="P155" s="9" t="s">
        <v>126</v>
      </c>
      <c r="Q155" s="8" t="s">
        <v>30</v>
      </c>
      <c r="R155" s="8">
        <f>MONTH(Tabela1[[#This Row],[Data]])</f>
        <v>2</v>
      </c>
    </row>
    <row r="156" spans="1:18" ht="42" hidden="1" x14ac:dyDescent="0.35">
      <c r="A156" s="14">
        <v>46077</v>
      </c>
      <c r="B156" s="8" t="s">
        <v>120</v>
      </c>
      <c r="C156" s="9" t="s">
        <v>252</v>
      </c>
      <c r="D156" s="9" t="s">
        <v>19</v>
      </c>
      <c r="E156" s="9" t="s">
        <v>253</v>
      </c>
      <c r="F156" s="9" t="s">
        <v>21</v>
      </c>
      <c r="G156" s="8" t="s">
        <v>114</v>
      </c>
      <c r="H156" s="9" t="s">
        <v>44</v>
      </c>
      <c r="I156" s="9" t="s">
        <v>127</v>
      </c>
      <c r="J156" s="9" t="s">
        <v>128</v>
      </c>
      <c r="K156" s="9" t="s">
        <v>47</v>
      </c>
      <c r="L156" s="9" t="s">
        <v>129</v>
      </c>
      <c r="M156" s="9" t="s">
        <v>258</v>
      </c>
      <c r="N156" s="8">
        <v>30</v>
      </c>
      <c r="O156" s="8" t="s">
        <v>28</v>
      </c>
      <c r="P156" s="9" t="s">
        <v>131</v>
      </c>
      <c r="Q156" s="8" t="s">
        <v>30</v>
      </c>
      <c r="R156" s="8">
        <f>MONTH(Tabela1[[#This Row],[Data]])</f>
        <v>2</v>
      </c>
    </row>
    <row r="157" spans="1:18" ht="28" hidden="1" x14ac:dyDescent="0.35">
      <c r="A157" s="14">
        <v>46077</v>
      </c>
      <c r="B157" s="8" t="s">
        <v>120</v>
      </c>
      <c r="C157" s="9" t="s">
        <v>252</v>
      </c>
      <c r="D157" s="9" t="s">
        <v>19</v>
      </c>
      <c r="E157" s="9" t="s">
        <v>253</v>
      </c>
      <c r="F157" s="9" t="s">
        <v>21</v>
      </c>
      <c r="G157" s="8" t="s">
        <v>121</v>
      </c>
      <c r="H157" s="9" t="s">
        <v>132</v>
      </c>
      <c r="I157" s="9" t="s">
        <v>133</v>
      </c>
      <c r="J157" s="9" t="s">
        <v>134</v>
      </c>
      <c r="K157" s="9" t="s">
        <v>101</v>
      </c>
      <c r="L157" s="9" t="s">
        <v>135</v>
      </c>
      <c r="M157" s="9" t="s">
        <v>136</v>
      </c>
      <c r="N157" s="8">
        <v>20</v>
      </c>
      <c r="O157" s="8" t="s">
        <v>80</v>
      </c>
      <c r="P157" s="9" t="s">
        <v>137</v>
      </c>
      <c r="Q157" s="8" t="s">
        <v>30</v>
      </c>
      <c r="R157" s="8">
        <f>MONTH(Tabela1[[#This Row],[Data]])</f>
        <v>2</v>
      </c>
    </row>
    <row r="158" spans="1:18" ht="28" hidden="1" x14ac:dyDescent="0.35">
      <c r="A158" s="14">
        <v>46078</v>
      </c>
      <c r="B158" s="8" t="s">
        <v>138</v>
      </c>
      <c r="C158" s="9" t="s">
        <v>252</v>
      </c>
      <c r="D158" s="9" t="s">
        <v>19</v>
      </c>
      <c r="E158" s="9" t="s">
        <v>253</v>
      </c>
      <c r="F158" s="9" t="s">
        <v>21</v>
      </c>
      <c r="G158" s="8" t="s">
        <v>114</v>
      </c>
      <c r="H158" s="9" t="s">
        <v>37</v>
      </c>
      <c r="I158" s="9" t="s">
        <v>139</v>
      </c>
      <c r="J158" s="9" t="s">
        <v>140</v>
      </c>
      <c r="K158" s="9" t="s">
        <v>141</v>
      </c>
      <c r="L158" s="9" t="s">
        <v>41</v>
      </c>
      <c r="M158" s="9" t="s">
        <v>142</v>
      </c>
      <c r="N158" s="8">
        <v>35</v>
      </c>
      <c r="O158" s="8" t="s">
        <v>28</v>
      </c>
      <c r="P158" s="9" t="s">
        <v>143</v>
      </c>
      <c r="Q158" s="8" t="s">
        <v>30</v>
      </c>
      <c r="R158" s="8">
        <f>MONTH(Tabela1[[#This Row],[Data]])</f>
        <v>2</v>
      </c>
    </row>
    <row r="159" spans="1:18" ht="42" hidden="1" x14ac:dyDescent="0.35">
      <c r="A159" s="14">
        <v>46078</v>
      </c>
      <c r="B159" s="8" t="s">
        <v>138</v>
      </c>
      <c r="C159" s="9" t="s">
        <v>252</v>
      </c>
      <c r="D159" s="9" t="s">
        <v>19</v>
      </c>
      <c r="E159" s="9" t="s">
        <v>253</v>
      </c>
      <c r="F159" s="9" t="s">
        <v>21</v>
      </c>
      <c r="G159" s="8" t="s">
        <v>114</v>
      </c>
      <c r="H159" s="9" t="s">
        <v>75</v>
      </c>
      <c r="I159" s="9" t="s">
        <v>144</v>
      </c>
      <c r="J159" s="9" t="s">
        <v>145</v>
      </c>
      <c r="K159" s="9" t="s">
        <v>47</v>
      </c>
      <c r="L159" s="9" t="s">
        <v>26</v>
      </c>
      <c r="M159" s="9" t="s">
        <v>146</v>
      </c>
      <c r="N159" s="8">
        <v>30</v>
      </c>
      <c r="O159" s="8" t="s">
        <v>28</v>
      </c>
      <c r="P159" s="9" t="s">
        <v>147</v>
      </c>
      <c r="Q159" s="8" t="s">
        <v>30</v>
      </c>
      <c r="R159" s="8">
        <f>MONTH(Tabela1[[#This Row],[Data]])</f>
        <v>2</v>
      </c>
    </row>
    <row r="160" spans="1:18" ht="42" hidden="1" x14ac:dyDescent="0.35">
      <c r="A160" s="14">
        <v>46078</v>
      </c>
      <c r="B160" s="8" t="s">
        <v>138</v>
      </c>
      <c r="C160" s="9" t="s">
        <v>252</v>
      </c>
      <c r="D160" s="9" t="s">
        <v>19</v>
      </c>
      <c r="E160" s="9" t="s">
        <v>253</v>
      </c>
      <c r="F160" s="9" t="s">
        <v>21</v>
      </c>
      <c r="G160" s="8" t="s">
        <v>114</v>
      </c>
      <c r="H160" s="9" t="s">
        <v>44</v>
      </c>
      <c r="I160" s="9" t="s">
        <v>183</v>
      </c>
      <c r="J160" s="9" t="s">
        <v>184</v>
      </c>
      <c r="K160" s="9" t="s">
        <v>47</v>
      </c>
      <c r="L160" s="9" t="s">
        <v>185</v>
      </c>
      <c r="M160" s="9" t="s">
        <v>186</v>
      </c>
      <c r="N160" s="8">
        <v>25</v>
      </c>
      <c r="O160" s="8" t="s">
        <v>28</v>
      </c>
      <c r="P160" s="9" t="s">
        <v>187</v>
      </c>
      <c r="Q160" s="8" t="s">
        <v>30</v>
      </c>
      <c r="R160" s="8">
        <f>MONTH(Tabela1[[#This Row],[Data]])</f>
        <v>2</v>
      </c>
    </row>
    <row r="161" spans="1:18" ht="42" hidden="1" x14ac:dyDescent="0.35">
      <c r="A161" s="14">
        <v>46079</v>
      </c>
      <c r="B161" s="8" t="s">
        <v>17</v>
      </c>
      <c r="C161" s="9" t="s">
        <v>252</v>
      </c>
      <c r="D161" s="9" t="s">
        <v>19</v>
      </c>
      <c r="E161" s="9" t="s">
        <v>253</v>
      </c>
      <c r="F161" s="9" t="s">
        <v>21</v>
      </c>
      <c r="G161" s="8" t="s">
        <v>121</v>
      </c>
      <c r="H161" s="9" t="s">
        <v>132</v>
      </c>
      <c r="I161" s="9" t="s">
        <v>148</v>
      </c>
      <c r="J161" s="9" t="s">
        <v>149</v>
      </c>
      <c r="K161" s="9" t="s">
        <v>150</v>
      </c>
      <c r="L161" s="9" t="s">
        <v>151</v>
      </c>
      <c r="M161" s="9" t="s">
        <v>152</v>
      </c>
      <c r="N161" s="8">
        <v>40</v>
      </c>
      <c r="O161" s="8" t="s">
        <v>28</v>
      </c>
      <c r="P161" s="9" t="s">
        <v>153</v>
      </c>
      <c r="Q161" s="8" t="s">
        <v>30</v>
      </c>
      <c r="R161" s="8">
        <f>MONTH(Tabela1[[#This Row],[Data]])</f>
        <v>2</v>
      </c>
    </row>
    <row r="162" spans="1:18" ht="42" hidden="1" x14ac:dyDescent="0.35">
      <c r="A162" s="14">
        <v>46079</v>
      </c>
      <c r="B162" s="8" t="s">
        <v>17</v>
      </c>
      <c r="C162" s="9" t="s">
        <v>252</v>
      </c>
      <c r="D162" s="9" t="s">
        <v>19</v>
      </c>
      <c r="E162" s="9" t="s">
        <v>253</v>
      </c>
      <c r="F162" s="9" t="s">
        <v>21</v>
      </c>
      <c r="G162" s="8" t="s">
        <v>121</v>
      </c>
      <c r="H162" s="9" t="s">
        <v>44</v>
      </c>
      <c r="I162" s="9" t="s">
        <v>154</v>
      </c>
      <c r="J162" s="9" t="s">
        <v>155</v>
      </c>
      <c r="K162" s="9" t="s">
        <v>47</v>
      </c>
      <c r="L162" s="9" t="s">
        <v>41</v>
      </c>
      <c r="M162" s="9" t="s">
        <v>156</v>
      </c>
      <c r="N162" s="8">
        <v>25</v>
      </c>
      <c r="O162" s="8" t="s">
        <v>80</v>
      </c>
      <c r="P162" s="9" t="s">
        <v>157</v>
      </c>
      <c r="Q162" s="8" t="s">
        <v>30</v>
      </c>
      <c r="R162" s="8">
        <f>MONTH(Tabela1[[#This Row],[Data]])</f>
        <v>2</v>
      </c>
    </row>
    <row r="163" spans="1:18" ht="42" hidden="1" x14ac:dyDescent="0.35">
      <c r="A163" s="14">
        <v>46080</v>
      </c>
      <c r="B163" s="8" t="s">
        <v>36</v>
      </c>
      <c r="C163" s="9" t="s">
        <v>252</v>
      </c>
      <c r="D163" s="9" t="s">
        <v>19</v>
      </c>
      <c r="E163" s="9" t="s">
        <v>253</v>
      </c>
      <c r="F163" s="9" t="s">
        <v>21</v>
      </c>
      <c r="G163" s="8" t="s">
        <v>114</v>
      </c>
      <c r="H163" s="9" t="s">
        <v>158</v>
      </c>
      <c r="I163" s="9" t="s">
        <v>159</v>
      </c>
      <c r="J163" s="9" t="s">
        <v>160</v>
      </c>
      <c r="K163" s="9" t="s">
        <v>161</v>
      </c>
      <c r="L163" s="9" t="s">
        <v>41</v>
      </c>
      <c r="M163" s="9" t="s">
        <v>162</v>
      </c>
      <c r="N163" s="8">
        <v>50</v>
      </c>
      <c r="O163" s="8" t="s">
        <v>28</v>
      </c>
      <c r="P163" s="9" t="s">
        <v>163</v>
      </c>
      <c r="Q163" s="8" t="s">
        <v>30</v>
      </c>
      <c r="R163" s="8">
        <f>MONTH(Tabela1[[#This Row],[Data]])</f>
        <v>2</v>
      </c>
    </row>
    <row r="164" spans="1:18" ht="42" hidden="1" x14ac:dyDescent="0.35">
      <c r="A164" s="14">
        <v>46080</v>
      </c>
      <c r="B164" s="8" t="s">
        <v>36</v>
      </c>
      <c r="C164" s="9" t="s">
        <v>252</v>
      </c>
      <c r="D164" s="9" t="s">
        <v>19</v>
      </c>
      <c r="E164" s="9" t="s">
        <v>253</v>
      </c>
      <c r="F164" s="9" t="s">
        <v>21</v>
      </c>
      <c r="G164" s="8" t="s">
        <v>114</v>
      </c>
      <c r="H164" s="9" t="s">
        <v>188</v>
      </c>
      <c r="I164" s="9" t="s">
        <v>189</v>
      </c>
      <c r="J164" s="9" t="s">
        <v>190</v>
      </c>
      <c r="K164" s="9" t="s">
        <v>191</v>
      </c>
      <c r="L164" s="9" t="s">
        <v>192</v>
      </c>
      <c r="M164" s="9" t="s">
        <v>193</v>
      </c>
      <c r="N164" s="8">
        <v>35</v>
      </c>
      <c r="O164" s="8" t="s">
        <v>28</v>
      </c>
      <c r="P164" s="9" t="s">
        <v>194</v>
      </c>
      <c r="Q164" s="8" t="s">
        <v>30</v>
      </c>
      <c r="R164" s="8">
        <f>MONTH(Tabela1[[#This Row],[Data]])</f>
        <v>2</v>
      </c>
    </row>
    <row r="165" spans="1:18" ht="28" hidden="1" x14ac:dyDescent="0.35">
      <c r="A165" s="14">
        <v>46080</v>
      </c>
      <c r="B165" s="8" t="s">
        <v>36</v>
      </c>
      <c r="C165" s="9" t="s">
        <v>252</v>
      </c>
      <c r="D165" s="9" t="s">
        <v>19</v>
      </c>
      <c r="E165" s="9" t="s">
        <v>253</v>
      </c>
      <c r="F165" s="9" t="s">
        <v>21</v>
      </c>
      <c r="G165" s="8" t="s">
        <v>121</v>
      </c>
      <c r="H165" s="9" t="s">
        <v>164</v>
      </c>
      <c r="I165" s="9" t="s">
        <v>165</v>
      </c>
      <c r="J165" s="9" t="s">
        <v>166</v>
      </c>
      <c r="K165" s="9" t="s">
        <v>23</v>
      </c>
      <c r="L165" s="9" t="s">
        <v>26</v>
      </c>
      <c r="M165" s="9" t="s">
        <v>167</v>
      </c>
      <c r="N165" s="8">
        <v>20</v>
      </c>
      <c r="O165" s="8" t="s">
        <v>80</v>
      </c>
      <c r="P165" s="9" t="s">
        <v>168</v>
      </c>
      <c r="Q165" s="8" t="s">
        <v>30</v>
      </c>
      <c r="R165" s="8">
        <f>MONTH(Tabela1[[#This Row],[Data]])</f>
        <v>2</v>
      </c>
    </row>
    <row r="166" spans="1:18" ht="42" hidden="1" x14ac:dyDescent="0.35">
      <c r="A166" s="14">
        <v>46081</v>
      </c>
      <c r="B166" s="8" t="s">
        <v>50</v>
      </c>
      <c r="C166" s="9" t="s">
        <v>259</v>
      </c>
      <c r="D166" s="9" t="s">
        <v>52</v>
      </c>
      <c r="E166" s="9" t="s">
        <v>260</v>
      </c>
      <c r="F166" s="9" t="s">
        <v>60</v>
      </c>
      <c r="G166" s="8" t="s">
        <v>61</v>
      </c>
      <c r="H166" s="9" t="s">
        <v>62</v>
      </c>
      <c r="I166" s="9" t="s">
        <v>63</v>
      </c>
      <c r="J166" s="9" t="s">
        <v>64</v>
      </c>
      <c r="K166" s="9" t="s">
        <v>65</v>
      </c>
      <c r="L166" s="9" t="s">
        <v>261</v>
      </c>
      <c r="M166" s="9" t="s">
        <v>262</v>
      </c>
      <c r="N166" s="8">
        <v>70</v>
      </c>
      <c r="O166" s="8" t="s">
        <v>28</v>
      </c>
      <c r="P166" s="9" t="s">
        <v>68</v>
      </c>
      <c r="Q166" s="8" t="s">
        <v>30</v>
      </c>
      <c r="R166" s="8">
        <f>MONTH(Tabela1[[#This Row],[Data]])</f>
        <v>2</v>
      </c>
    </row>
    <row r="167" spans="1:18" ht="42" hidden="1" x14ac:dyDescent="0.35">
      <c r="A167" s="14">
        <v>46081</v>
      </c>
      <c r="B167" s="8" t="s">
        <v>50</v>
      </c>
      <c r="C167" s="9" t="s">
        <v>259</v>
      </c>
      <c r="D167" s="9" t="s">
        <v>52</v>
      </c>
      <c r="E167" s="9" t="s">
        <v>260</v>
      </c>
      <c r="F167" s="9" t="s">
        <v>60</v>
      </c>
      <c r="G167" s="8" t="s">
        <v>61</v>
      </c>
      <c r="H167" s="9" t="s">
        <v>69</v>
      </c>
      <c r="I167" s="9" t="s">
        <v>70</v>
      </c>
      <c r="J167" s="9" t="s">
        <v>71</v>
      </c>
      <c r="K167" s="9" t="s">
        <v>72</v>
      </c>
      <c r="L167" s="9" t="s">
        <v>26</v>
      </c>
      <c r="M167" s="9" t="s">
        <v>73</v>
      </c>
      <c r="N167" s="8">
        <v>80</v>
      </c>
      <c r="O167" s="8" t="s">
        <v>28</v>
      </c>
      <c r="P167" s="9" t="s">
        <v>74</v>
      </c>
      <c r="Q167" s="8" t="s">
        <v>30</v>
      </c>
      <c r="R167" s="8">
        <f>MONTH(Tabela1[[#This Row],[Data]])</f>
        <v>2</v>
      </c>
    </row>
    <row r="168" spans="1:18" ht="42" hidden="1" x14ac:dyDescent="0.35">
      <c r="A168" s="14">
        <v>46081</v>
      </c>
      <c r="B168" s="8" t="s">
        <v>50</v>
      </c>
      <c r="C168" s="9" t="s">
        <v>259</v>
      </c>
      <c r="D168" s="9" t="s">
        <v>52</v>
      </c>
      <c r="E168" s="9" t="s">
        <v>260</v>
      </c>
      <c r="F168" s="9" t="s">
        <v>60</v>
      </c>
      <c r="G168" s="8" t="s">
        <v>61</v>
      </c>
      <c r="H168" s="9" t="s">
        <v>75</v>
      </c>
      <c r="I168" s="9" t="s">
        <v>76</v>
      </c>
      <c r="J168" s="9" t="s">
        <v>77</v>
      </c>
      <c r="K168" s="9" t="s">
        <v>78</v>
      </c>
      <c r="L168" s="9" t="s">
        <v>26</v>
      </c>
      <c r="M168" s="9" t="s">
        <v>79</v>
      </c>
      <c r="N168" s="8">
        <v>35</v>
      </c>
      <c r="O168" s="8" t="s">
        <v>80</v>
      </c>
      <c r="P168" s="9" t="s">
        <v>81</v>
      </c>
      <c r="Q168" s="8" t="s">
        <v>30</v>
      </c>
      <c r="R168" s="8">
        <f>MONTH(Tabela1[[#This Row],[Data]])</f>
        <v>2</v>
      </c>
    </row>
    <row r="169" spans="1:18" ht="42" hidden="1" x14ac:dyDescent="0.35">
      <c r="A169" s="14">
        <v>46083</v>
      </c>
      <c r="B169" s="8" t="s">
        <v>83</v>
      </c>
      <c r="C169" s="9" t="s">
        <v>259</v>
      </c>
      <c r="D169" s="9" t="s">
        <v>84</v>
      </c>
      <c r="E169" s="9" t="s">
        <v>260</v>
      </c>
      <c r="F169" s="9" t="s">
        <v>21</v>
      </c>
      <c r="G169" s="8" t="s">
        <v>114</v>
      </c>
      <c r="H169" s="9" t="s">
        <v>75</v>
      </c>
      <c r="I169" s="9" t="s">
        <v>214</v>
      </c>
      <c r="J169" s="9" t="s">
        <v>215</v>
      </c>
      <c r="K169" s="9" t="s">
        <v>216</v>
      </c>
      <c r="L169" s="9" t="s">
        <v>26</v>
      </c>
      <c r="M169" s="9" t="s">
        <v>217</v>
      </c>
      <c r="N169" s="8">
        <v>60</v>
      </c>
      <c r="O169" s="8" t="s">
        <v>28</v>
      </c>
      <c r="P169" s="9" t="s">
        <v>218</v>
      </c>
      <c r="Q169" s="8" t="s">
        <v>30</v>
      </c>
      <c r="R169" s="8">
        <f>MONTH(Tabela1[[#This Row],[Data]])</f>
        <v>3</v>
      </c>
    </row>
    <row r="170" spans="1:18" ht="56" hidden="1" x14ac:dyDescent="0.35">
      <c r="A170" s="14">
        <v>46083</v>
      </c>
      <c r="B170" s="8" t="s">
        <v>83</v>
      </c>
      <c r="C170" s="9" t="s">
        <v>259</v>
      </c>
      <c r="D170" s="9" t="s">
        <v>84</v>
      </c>
      <c r="E170" s="9" t="s">
        <v>260</v>
      </c>
      <c r="F170" s="9" t="s">
        <v>85</v>
      </c>
      <c r="G170" s="8" t="s">
        <v>86</v>
      </c>
      <c r="H170" s="9" t="s">
        <v>87</v>
      </c>
      <c r="I170" s="9" t="s">
        <v>88</v>
      </c>
      <c r="J170" s="9" t="s">
        <v>89</v>
      </c>
      <c r="K170" s="9" t="s">
        <v>90</v>
      </c>
      <c r="L170" s="9" t="s">
        <v>91</v>
      </c>
      <c r="M170" s="9" t="s">
        <v>264</v>
      </c>
      <c r="N170" s="8">
        <v>150</v>
      </c>
      <c r="O170" s="8" t="s">
        <v>28</v>
      </c>
      <c r="P170" s="9" t="s">
        <v>93</v>
      </c>
      <c r="Q170" s="8" t="s">
        <v>30</v>
      </c>
      <c r="R170" s="8">
        <f>MONTH(Tabela1[[#This Row],[Data]])</f>
        <v>3</v>
      </c>
    </row>
    <row r="171" spans="1:18" ht="28" hidden="1" x14ac:dyDescent="0.35">
      <c r="A171" s="14">
        <v>46083</v>
      </c>
      <c r="B171" s="8" t="s">
        <v>83</v>
      </c>
      <c r="C171" s="9" t="s">
        <v>259</v>
      </c>
      <c r="D171" s="9" t="s">
        <v>84</v>
      </c>
      <c r="E171" s="9" t="s">
        <v>260</v>
      </c>
      <c r="F171" s="9" t="s">
        <v>85</v>
      </c>
      <c r="G171" s="8" t="s">
        <v>86</v>
      </c>
      <c r="H171" s="9" t="s">
        <v>94</v>
      </c>
      <c r="I171" s="9" t="s">
        <v>95</v>
      </c>
      <c r="J171" s="9" t="s">
        <v>96</v>
      </c>
      <c r="K171" s="9" t="s">
        <v>97</v>
      </c>
      <c r="L171" s="9" t="s">
        <v>98</v>
      </c>
      <c r="M171" s="9" t="s">
        <v>99</v>
      </c>
      <c r="N171" s="8">
        <v>60</v>
      </c>
      <c r="O171" s="8" t="s">
        <v>28</v>
      </c>
      <c r="P171" s="9" t="s">
        <v>100</v>
      </c>
      <c r="Q171" s="8" t="s">
        <v>30</v>
      </c>
      <c r="R171" s="8">
        <f>MONTH(Tabela1[[#This Row],[Data]])</f>
        <v>3</v>
      </c>
    </row>
    <row r="172" spans="1:18" ht="56" hidden="1" x14ac:dyDescent="0.35">
      <c r="A172" s="14">
        <v>46083</v>
      </c>
      <c r="B172" s="8" t="s">
        <v>83</v>
      </c>
      <c r="C172" s="9" t="s">
        <v>259</v>
      </c>
      <c r="D172" s="9" t="s">
        <v>84</v>
      </c>
      <c r="E172" s="9" t="s">
        <v>260</v>
      </c>
      <c r="F172" s="9" t="s">
        <v>85</v>
      </c>
      <c r="G172" s="8" t="s">
        <v>86</v>
      </c>
      <c r="H172" s="9" t="s">
        <v>101</v>
      </c>
      <c r="I172" s="9" t="s">
        <v>102</v>
      </c>
      <c r="J172" s="9" t="s">
        <v>103</v>
      </c>
      <c r="K172" s="9" t="s">
        <v>101</v>
      </c>
      <c r="L172" s="9" t="s">
        <v>104</v>
      </c>
      <c r="M172" s="9" t="s">
        <v>105</v>
      </c>
      <c r="N172" s="8">
        <v>60</v>
      </c>
      <c r="O172" s="8" t="s">
        <v>28</v>
      </c>
      <c r="P172" s="9" t="s">
        <v>106</v>
      </c>
      <c r="Q172" s="8" t="s">
        <v>30</v>
      </c>
      <c r="R172" s="8">
        <f>MONTH(Tabela1[[#This Row],[Data]])</f>
        <v>3</v>
      </c>
    </row>
    <row r="173" spans="1:18" ht="28" hidden="1" x14ac:dyDescent="0.35">
      <c r="A173" s="14">
        <v>46083</v>
      </c>
      <c r="B173" s="8" t="s">
        <v>83</v>
      </c>
      <c r="C173" s="9" t="s">
        <v>259</v>
      </c>
      <c r="D173" s="9" t="s">
        <v>84</v>
      </c>
      <c r="E173" s="9" t="s">
        <v>260</v>
      </c>
      <c r="F173" s="9" t="s">
        <v>85</v>
      </c>
      <c r="G173" s="8" t="s">
        <v>86</v>
      </c>
      <c r="H173" s="9" t="s">
        <v>107</v>
      </c>
      <c r="I173" s="9" t="s">
        <v>108</v>
      </c>
      <c r="J173" s="9" t="s">
        <v>109</v>
      </c>
      <c r="K173" s="9" t="s">
        <v>110</v>
      </c>
      <c r="L173" s="9" t="s">
        <v>111</v>
      </c>
      <c r="M173" s="9" t="s">
        <v>112</v>
      </c>
      <c r="N173" s="8">
        <v>90</v>
      </c>
      <c r="O173" s="8" t="s">
        <v>28</v>
      </c>
      <c r="P173" s="9" t="s">
        <v>113</v>
      </c>
      <c r="Q173" s="8" t="s">
        <v>30</v>
      </c>
      <c r="R173" s="8">
        <f>MONTH(Tabela1[[#This Row],[Data]])</f>
        <v>3</v>
      </c>
    </row>
    <row r="174" spans="1:18" ht="28" hidden="1" x14ac:dyDescent="0.35">
      <c r="A174" s="14">
        <v>46083</v>
      </c>
      <c r="B174" s="8" t="s">
        <v>83</v>
      </c>
      <c r="C174" s="9" t="s">
        <v>259</v>
      </c>
      <c r="D174" s="9" t="s">
        <v>84</v>
      </c>
      <c r="E174" s="9" t="s">
        <v>260</v>
      </c>
      <c r="F174" s="9" t="s">
        <v>21</v>
      </c>
      <c r="G174" s="8" t="s">
        <v>114</v>
      </c>
      <c r="H174" s="9" t="s">
        <v>115</v>
      </c>
      <c r="I174" s="9" t="s">
        <v>116</v>
      </c>
      <c r="J174" s="9" t="s">
        <v>117</v>
      </c>
      <c r="K174" s="9" t="s">
        <v>23</v>
      </c>
      <c r="L174" s="9" t="s">
        <v>26</v>
      </c>
      <c r="M174" s="9" t="s">
        <v>118</v>
      </c>
      <c r="N174" s="8">
        <v>20</v>
      </c>
      <c r="O174" s="8" t="s">
        <v>80</v>
      </c>
      <c r="P174" s="9" t="s">
        <v>119</v>
      </c>
      <c r="Q174" s="8" t="s">
        <v>30</v>
      </c>
      <c r="R174" s="8">
        <f>MONTH(Tabela1[[#This Row],[Data]])</f>
        <v>3</v>
      </c>
    </row>
    <row r="175" spans="1:18" ht="42" hidden="1" x14ac:dyDescent="0.35">
      <c r="A175" s="14">
        <v>46084</v>
      </c>
      <c r="B175" s="8" t="s">
        <v>120</v>
      </c>
      <c r="C175" s="9" t="s">
        <v>259</v>
      </c>
      <c r="D175" s="9" t="s">
        <v>19</v>
      </c>
      <c r="E175" s="9" t="s">
        <v>260</v>
      </c>
      <c r="F175" s="9" t="s">
        <v>21</v>
      </c>
      <c r="G175" s="8" t="s">
        <v>121</v>
      </c>
      <c r="H175" s="9" t="s">
        <v>44</v>
      </c>
      <c r="I175" s="9" t="s">
        <v>122</v>
      </c>
      <c r="J175" s="9" t="s">
        <v>123</v>
      </c>
      <c r="K175" s="9" t="s">
        <v>47</v>
      </c>
      <c r="L175" s="9" t="s">
        <v>124</v>
      </c>
      <c r="M175" s="9" t="s">
        <v>125</v>
      </c>
      <c r="N175" s="8">
        <v>30</v>
      </c>
      <c r="O175" s="8" t="s">
        <v>28</v>
      </c>
      <c r="P175" s="9" t="s">
        <v>126</v>
      </c>
      <c r="Q175" s="8" t="s">
        <v>30</v>
      </c>
      <c r="R175" s="8">
        <f>MONTH(Tabela1[[#This Row],[Data]])</f>
        <v>3</v>
      </c>
    </row>
    <row r="176" spans="1:18" ht="42" hidden="1" x14ac:dyDescent="0.35">
      <c r="A176" s="14">
        <v>46084</v>
      </c>
      <c r="B176" s="8" t="s">
        <v>120</v>
      </c>
      <c r="C176" s="9" t="s">
        <v>259</v>
      </c>
      <c r="D176" s="9" t="s">
        <v>19</v>
      </c>
      <c r="E176" s="9" t="s">
        <v>260</v>
      </c>
      <c r="F176" s="9" t="s">
        <v>21</v>
      </c>
      <c r="G176" s="8" t="s">
        <v>114</v>
      </c>
      <c r="H176" s="9" t="s">
        <v>44</v>
      </c>
      <c r="I176" s="9" t="s">
        <v>127</v>
      </c>
      <c r="J176" s="9" t="s">
        <v>128</v>
      </c>
      <c r="K176" s="9" t="s">
        <v>47</v>
      </c>
      <c r="L176" s="9" t="s">
        <v>129</v>
      </c>
      <c r="M176" s="9" t="s">
        <v>265</v>
      </c>
      <c r="N176" s="8">
        <v>30</v>
      </c>
      <c r="O176" s="8" t="s">
        <v>28</v>
      </c>
      <c r="P176" s="9" t="s">
        <v>131</v>
      </c>
      <c r="Q176" s="8" t="s">
        <v>30</v>
      </c>
      <c r="R176" s="8">
        <f>MONTH(Tabela1[[#This Row],[Data]])</f>
        <v>3</v>
      </c>
    </row>
    <row r="177" spans="1:18" ht="28" hidden="1" x14ac:dyDescent="0.35">
      <c r="A177" s="14">
        <v>46084</v>
      </c>
      <c r="B177" s="8" t="s">
        <v>120</v>
      </c>
      <c r="C177" s="9" t="s">
        <v>259</v>
      </c>
      <c r="D177" s="9" t="s">
        <v>19</v>
      </c>
      <c r="E177" s="9" t="s">
        <v>260</v>
      </c>
      <c r="F177" s="9" t="s">
        <v>21</v>
      </c>
      <c r="G177" s="8" t="s">
        <v>121</v>
      </c>
      <c r="H177" s="9" t="s">
        <v>132</v>
      </c>
      <c r="I177" s="9" t="s">
        <v>133</v>
      </c>
      <c r="J177" s="9" t="s">
        <v>134</v>
      </c>
      <c r="K177" s="9" t="s">
        <v>101</v>
      </c>
      <c r="L177" s="9" t="s">
        <v>135</v>
      </c>
      <c r="M177" s="9" t="s">
        <v>136</v>
      </c>
      <c r="N177" s="8">
        <v>20</v>
      </c>
      <c r="O177" s="8" t="s">
        <v>80</v>
      </c>
      <c r="P177" s="9" t="s">
        <v>137</v>
      </c>
      <c r="Q177" s="8" t="s">
        <v>30</v>
      </c>
      <c r="R177" s="8">
        <f>MONTH(Tabela1[[#This Row],[Data]])</f>
        <v>3</v>
      </c>
    </row>
    <row r="178" spans="1:18" ht="28" hidden="1" x14ac:dyDescent="0.35">
      <c r="A178" s="14">
        <v>46085</v>
      </c>
      <c r="B178" s="8" t="s">
        <v>138</v>
      </c>
      <c r="C178" s="9" t="s">
        <v>259</v>
      </c>
      <c r="D178" s="9" t="s">
        <v>19</v>
      </c>
      <c r="E178" s="9" t="s">
        <v>260</v>
      </c>
      <c r="F178" s="9" t="s">
        <v>21</v>
      </c>
      <c r="G178" s="8" t="s">
        <v>114</v>
      </c>
      <c r="H178" s="9" t="s">
        <v>37</v>
      </c>
      <c r="I178" s="9" t="s">
        <v>139</v>
      </c>
      <c r="J178" s="9" t="s">
        <v>140</v>
      </c>
      <c r="K178" s="9" t="s">
        <v>141</v>
      </c>
      <c r="L178" s="9" t="s">
        <v>41</v>
      </c>
      <c r="M178" s="9" t="s">
        <v>142</v>
      </c>
      <c r="N178" s="8">
        <v>35</v>
      </c>
      <c r="O178" s="8" t="s">
        <v>28</v>
      </c>
      <c r="P178" s="9" t="s">
        <v>143</v>
      </c>
      <c r="Q178" s="8" t="s">
        <v>30</v>
      </c>
      <c r="R178" s="8">
        <f>MONTH(Tabela1[[#This Row],[Data]])</f>
        <v>3</v>
      </c>
    </row>
    <row r="179" spans="1:18" ht="42" hidden="1" x14ac:dyDescent="0.35">
      <c r="A179" s="14">
        <v>46085</v>
      </c>
      <c r="B179" s="8" t="s">
        <v>138</v>
      </c>
      <c r="C179" s="9" t="s">
        <v>259</v>
      </c>
      <c r="D179" s="9" t="s">
        <v>19</v>
      </c>
      <c r="E179" s="9" t="s">
        <v>260</v>
      </c>
      <c r="F179" s="9" t="s">
        <v>21</v>
      </c>
      <c r="G179" s="8" t="s">
        <v>114</v>
      </c>
      <c r="H179" s="9" t="s">
        <v>75</v>
      </c>
      <c r="I179" s="9" t="s">
        <v>144</v>
      </c>
      <c r="J179" s="9" t="s">
        <v>145</v>
      </c>
      <c r="K179" s="9" t="s">
        <v>47</v>
      </c>
      <c r="L179" s="9" t="s">
        <v>26</v>
      </c>
      <c r="M179" s="9" t="s">
        <v>146</v>
      </c>
      <c r="N179" s="8">
        <v>30</v>
      </c>
      <c r="O179" s="8" t="s">
        <v>28</v>
      </c>
      <c r="P179" s="9" t="s">
        <v>147</v>
      </c>
      <c r="Q179" s="8" t="s">
        <v>30</v>
      </c>
      <c r="R179" s="8">
        <f>MONTH(Tabela1[[#This Row],[Data]])</f>
        <v>3</v>
      </c>
    </row>
    <row r="180" spans="1:18" ht="42" hidden="1" x14ac:dyDescent="0.35">
      <c r="A180" s="14">
        <v>46086</v>
      </c>
      <c r="B180" s="8" t="s">
        <v>17</v>
      </c>
      <c r="C180" s="9" t="s">
        <v>259</v>
      </c>
      <c r="D180" s="9" t="s">
        <v>19</v>
      </c>
      <c r="E180" s="9" t="s">
        <v>260</v>
      </c>
      <c r="F180" s="9" t="s">
        <v>21</v>
      </c>
      <c r="G180" s="8" t="s">
        <v>121</v>
      </c>
      <c r="H180" s="9" t="s">
        <v>132</v>
      </c>
      <c r="I180" s="9" t="s">
        <v>148</v>
      </c>
      <c r="J180" s="9" t="s">
        <v>149</v>
      </c>
      <c r="K180" s="9" t="s">
        <v>150</v>
      </c>
      <c r="L180" s="9" t="s">
        <v>151</v>
      </c>
      <c r="M180" s="9" t="s">
        <v>152</v>
      </c>
      <c r="N180" s="8">
        <v>40</v>
      </c>
      <c r="O180" s="8" t="s">
        <v>28</v>
      </c>
      <c r="P180" s="9" t="s">
        <v>153</v>
      </c>
      <c r="Q180" s="8" t="s">
        <v>30</v>
      </c>
      <c r="R180" s="8">
        <f>MONTH(Tabela1[[#This Row],[Data]])</f>
        <v>3</v>
      </c>
    </row>
    <row r="181" spans="1:18" ht="42" hidden="1" x14ac:dyDescent="0.35">
      <c r="A181" s="14">
        <v>46086</v>
      </c>
      <c r="B181" s="8" t="s">
        <v>17</v>
      </c>
      <c r="C181" s="9" t="s">
        <v>259</v>
      </c>
      <c r="D181" s="9" t="s">
        <v>19</v>
      </c>
      <c r="E181" s="9" t="s">
        <v>260</v>
      </c>
      <c r="F181" s="9" t="s">
        <v>21</v>
      </c>
      <c r="G181" s="8" t="s">
        <v>121</v>
      </c>
      <c r="H181" s="9" t="s">
        <v>44</v>
      </c>
      <c r="I181" s="9" t="s">
        <v>154</v>
      </c>
      <c r="J181" s="9" t="s">
        <v>155</v>
      </c>
      <c r="K181" s="9" t="s">
        <v>47</v>
      </c>
      <c r="L181" s="9" t="s">
        <v>41</v>
      </c>
      <c r="M181" s="9" t="s">
        <v>156</v>
      </c>
      <c r="N181" s="8">
        <v>25</v>
      </c>
      <c r="O181" s="8" t="s">
        <v>80</v>
      </c>
      <c r="P181" s="9" t="s">
        <v>157</v>
      </c>
      <c r="Q181" s="8" t="s">
        <v>30</v>
      </c>
      <c r="R181" s="8">
        <f>MONTH(Tabela1[[#This Row],[Data]])</f>
        <v>3</v>
      </c>
    </row>
    <row r="182" spans="1:18" ht="42" hidden="1" x14ac:dyDescent="0.35">
      <c r="A182" s="14">
        <v>46087</v>
      </c>
      <c r="B182" s="8" t="s">
        <v>36</v>
      </c>
      <c r="C182" s="9" t="s">
        <v>259</v>
      </c>
      <c r="D182" s="9" t="s">
        <v>19</v>
      </c>
      <c r="E182" s="9" t="s">
        <v>260</v>
      </c>
      <c r="F182" s="9" t="s">
        <v>21</v>
      </c>
      <c r="G182" s="8" t="s">
        <v>114</v>
      </c>
      <c r="H182" s="9" t="s">
        <v>158</v>
      </c>
      <c r="I182" s="9" t="s">
        <v>159</v>
      </c>
      <c r="J182" s="9" t="s">
        <v>160</v>
      </c>
      <c r="K182" s="9" t="s">
        <v>161</v>
      </c>
      <c r="L182" s="9" t="s">
        <v>41</v>
      </c>
      <c r="M182" s="9" t="s">
        <v>162</v>
      </c>
      <c r="N182" s="8">
        <v>50</v>
      </c>
      <c r="O182" s="8" t="s">
        <v>28</v>
      </c>
      <c r="P182" s="9" t="s">
        <v>163</v>
      </c>
      <c r="Q182" s="8" t="s">
        <v>30</v>
      </c>
      <c r="R182" s="8">
        <f>MONTH(Tabela1[[#This Row],[Data]])</f>
        <v>3</v>
      </c>
    </row>
    <row r="183" spans="1:18" ht="28" hidden="1" x14ac:dyDescent="0.35">
      <c r="A183" s="14">
        <v>46087</v>
      </c>
      <c r="B183" s="8" t="s">
        <v>36</v>
      </c>
      <c r="C183" s="9" t="s">
        <v>259</v>
      </c>
      <c r="D183" s="9" t="s">
        <v>19</v>
      </c>
      <c r="E183" s="9" t="s">
        <v>260</v>
      </c>
      <c r="F183" s="9" t="s">
        <v>21</v>
      </c>
      <c r="G183" s="8" t="s">
        <v>121</v>
      </c>
      <c r="H183" s="9" t="s">
        <v>164</v>
      </c>
      <c r="I183" s="9" t="s">
        <v>165</v>
      </c>
      <c r="J183" s="9" t="s">
        <v>166</v>
      </c>
      <c r="K183" s="9" t="s">
        <v>23</v>
      </c>
      <c r="L183" s="9" t="s">
        <v>26</v>
      </c>
      <c r="M183" s="9" t="s">
        <v>167</v>
      </c>
      <c r="N183" s="8">
        <v>20</v>
      </c>
      <c r="O183" s="8" t="s">
        <v>80</v>
      </c>
      <c r="P183" s="9" t="s">
        <v>168</v>
      </c>
      <c r="Q183" s="8" t="s">
        <v>30</v>
      </c>
      <c r="R183" s="8">
        <f>MONTH(Tabela1[[#This Row],[Data]])</f>
        <v>3</v>
      </c>
    </row>
    <row r="184" spans="1:18" ht="42" hidden="1" x14ac:dyDescent="0.35">
      <c r="A184" s="14">
        <v>46088</v>
      </c>
      <c r="B184" s="8" t="s">
        <v>50</v>
      </c>
      <c r="C184" s="9" t="s">
        <v>266</v>
      </c>
      <c r="D184" s="9" t="s">
        <v>52</v>
      </c>
      <c r="E184" s="9" t="s">
        <v>267</v>
      </c>
      <c r="F184" s="9" t="s">
        <v>60</v>
      </c>
      <c r="G184" s="8" t="s">
        <v>61</v>
      </c>
      <c r="H184" s="9" t="s">
        <v>62</v>
      </c>
      <c r="I184" s="9" t="s">
        <v>63</v>
      </c>
      <c r="J184" s="9" t="s">
        <v>64</v>
      </c>
      <c r="K184" s="9" t="s">
        <v>65</v>
      </c>
      <c r="L184" s="9" t="s">
        <v>268</v>
      </c>
      <c r="M184" s="9" t="s">
        <v>269</v>
      </c>
      <c r="N184" s="8">
        <v>70</v>
      </c>
      <c r="O184" s="8" t="s">
        <v>28</v>
      </c>
      <c r="P184" s="9" t="s">
        <v>68</v>
      </c>
      <c r="Q184" s="8" t="s">
        <v>30</v>
      </c>
      <c r="R184" s="8">
        <f>MONTH(Tabela1[[#This Row],[Data]])</f>
        <v>3</v>
      </c>
    </row>
    <row r="185" spans="1:18" ht="42" hidden="1" x14ac:dyDescent="0.35">
      <c r="A185" s="14">
        <v>46088</v>
      </c>
      <c r="B185" s="8" t="s">
        <v>50</v>
      </c>
      <c r="C185" s="9" t="s">
        <v>266</v>
      </c>
      <c r="D185" s="9" t="s">
        <v>52</v>
      </c>
      <c r="E185" s="9" t="s">
        <v>267</v>
      </c>
      <c r="F185" s="9" t="s">
        <v>60</v>
      </c>
      <c r="G185" s="8" t="s">
        <v>61</v>
      </c>
      <c r="H185" s="9" t="s">
        <v>69</v>
      </c>
      <c r="I185" s="9" t="s">
        <v>70</v>
      </c>
      <c r="J185" s="9" t="s">
        <v>71</v>
      </c>
      <c r="K185" s="9" t="s">
        <v>72</v>
      </c>
      <c r="L185" s="9" t="s">
        <v>26</v>
      </c>
      <c r="M185" s="9" t="s">
        <v>73</v>
      </c>
      <c r="N185" s="8">
        <v>80</v>
      </c>
      <c r="O185" s="8" t="s">
        <v>28</v>
      </c>
      <c r="P185" s="9" t="s">
        <v>74</v>
      </c>
      <c r="Q185" s="8" t="s">
        <v>30</v>
      </c>
      <c r="R185" s="8">
        <f>MONTH(Tabela1[[#This Row],[Data]])</f>
        <v>3</v>
      </c>
    </row>
    <row r="186" spans="1:18" ht="42" hidden="1" x14ac:dyDescent="0.35">
      <c r="A186" s="14">
        <v>46088</v>
      </c>
      <c r="B186" s="8" t="s">
        <v>50</v>
      </c>
      <c r="C186" s="9" t="s">
        <v>266</v>
      </c>
      <c r="D186" s="9" t="s">
        <v>52</v>
      </c>
      <c r="E186" s="9" t="s">
        <v>267</v>
      </c>
      <c r="F186" s="9" t="s">
        <v>60</v>
      </c>
      <c r="G186" s="8" t="s">
        <v>61</v>
      </c>
      <c r="H186" s="9" t="s">
        <v>75</v>
      </c>
      <c r="I186" s="9" t="s">
        <v>76</v>
      </c>
      <c r="J186" s="9" t="s">
        <v>77</v>
      </c>
      <c r="K186" s="9" t="s">
        <v>78</v>
      </c>
      <c r="L186" s="9" t="s">
        <v>26</v>
      </c>
      <c r="M186" s="9" t="s">
        <v>79</v>
      </c>
      <c r="N186" s="8">
        <v>35</v>
      </c>
      <c r="O186" s="8" t="s">
        <v>80</v>
      </c>
      <c r="P186" s="9" t="s">
        <v>81</v>
      </c>
      <c r="Q186" s="8" t="s">
        <v>30</v>
      </c>
      <c r="R186" s="8">
        <f>MONTH(Tabela1[[#This Row],[Data]])</f>
        <v>3</v>
      </c>
    </row>
    <row r="187" spans="1:18" ht="56" hidden="1" x14ac:dyDescent="0.35">
      <c r="A187" s="14">
        <v>46090</v>
      </c>
      <c r="B187" s="8" t="s">
        <v>83</v>
      </c>
      <c r="C187" s="9" t="s">
        <v>266</v>
      </c>
      <c r="D187" s="9" t="s">
        <v>84</v>
      </c>
      <c r="E187" s="9" t="s">
        <v>267</v>
      </c>
      <c r="F187" s="9" t="s">
        <v>85</v>
      </c>
      <c r="G187" s="8" t="s">
        <v>86</v>
      </c>
      <c r="H187" s="9" t="s">
        <v>87</v>
      </c>
      <c r="I187" s="9" t="s">
        <v>88</v>
      </c>
      <c r="J187" s="9" t="s">
        <v>89</v>
      </c>
      <c r="K187" s="9" t="s">
        <v>90</v>
      </c>
      <c r="L187" s="9" t="s">
        <v>91</v>
      </c>
      <c r="M187" s="9" t="s">
        <v>271</v>
      </c>
      <c r="N187" s="8">
        <v>150</v>
      </c>
      <c r="O187" s="8" t="s">
        <v>28</v>
      </c>
      <c r="P187" s="9" t="s">
        <v>93</v>
      </c>
      <c r="Q187" s="8" t="s">
        <v>30</v>
      </c>
      <c r="R187" s="8">
        <f>MONTH(Tabela1[[#This Row],[Data]])</f>
        <v>3</v>
      </c>
    </row>
    <row r="188" spans="1:18" ht="28" hidden="1" x14ac:dyDescent="0.35">
      <c r="A188" s="14">
        <v>46090</v>
      </c>
      <c r="B188" s="8" t="s">
        <v>83</v>
      </c>
      <c r="C188" s="9" t="s">
        <v>266</v>
      </c>
      <c r="D188" s="9" t="s">
        <v>84</v>
      </c>
      <c r="E188" s="9" t="s">
        <v>267</v>
      </c>
      <c r="F188" s="9" t="s">
        <v>85</v>
      </c>
      <c r="G188" s="8" t="s">
        <v>86</v>
      </c>
      <c r="H188" s="9" t="s">
        <v>94</v>
      </c>
      <c r="I188" s="9" t="s">
        <v>95</v>
      </c>
      <c r="J188" s="9" t="s">
        <v>96</v>
      </c>
      <c r="K188" s="9" t="s">
        <v>97</v>
      </c>
      <c r="L188" s="9" t="s">
        <v>98</v>
      </c>
      <c r="M188" s="9" t="s">
        <v>99</v>
      </c>
      <c r="N188" s="8">
        <v>60</v>
      </c>
      <c r="O188" s="8" t="s">
        <v>28</v>
      </c>
      <c r="P188" s="9" t="s">
        <v>100</v>
      </c>
      <c r="Q188" s="8" t="s">
        <v>30</v>
      </c>
      <c r="R188" s="8">
        <f>MONTH(Tabela1[[#This Row],[Data]])</f>
        <v>3</v>
      </c>
    </row>
    <row r="189" spans="1:18" ht="56" hidden="1" x14ac:dyDescent="0.35">
      <c r="A189" s="14">
        <v>46090</v>
      </c>
      <c r="B189" s="8" t="s">
        <v>83</v>
      </c>
      <c r="C189" s="9" t="s">
        <v>266</v>
      </c>
      <c r="D189" s="9" t="s">
        <v>84</v>
      </c>
      <c r="E189" s="9" t="s">
        <v>267</v>
      </c>
      <c r="F189" s="9" t="s">
        <v>85</v>
      </c>
      <c r="G189" s="8" t="s">
        <v>86</v>
      </c>
      <c r="H189" s="9" t="s">
        <v>101</v>
      </c>
      <c r="I189" s="9" t="s">
        <v>102</v>
      </c>
      <c r="J189" s="9" t="s">
        <v>103</v>
      </c>
      <c r="K189" s="9" t="s">
        <v>101</v>
      </c>
      <c r="L189" s="9" t="s">
        <v>104</v>
      </c>
      <c r="M189" s="9" t="s">
        <v>105</v>
      </c>
      <c r="N189" s="8">
        <v>60</v>
      </c>
      <c r="O189" s="8" t="s">
        <v>28</v>
      </c>
      <c r="P189" s="9" t="s">
        <v>106</v>
      </c>
      <c r="Q189" s="8" t="s">
        <v>30</v>
      </c>
      <c r="R189" s="8">
        <f>MONTH(Tabela1[[#This Row],[Data]])</f>
        <v>3</v>
      </c>
    </row>
    <row r="190" spans="1:18" ht="28" hidden="1" x14ac:dyDescent="0.35">
      <c r="A190" s="14">
        <v>46090</v>
      </c>
      <c r="B190" s="8" t="s">
        <v>83</v>
      </c>
      <c r="C190" s="9" t="s">
        <v>266</v>
      </c>
      <c r="D190" s="9" t="s">
        <v>84</v>
      </c>
      <c r="E190" s="9" t="s">
        <v>267</v>
      </c>
      <c r="F190" s="9" t="s">
        <v>85</v>
      </c>
      <c r="G190" s="8" t="s">
        <v>86</v>
      </c>
      <c r="H190" s="9" t="s">
        <v>107</v>
      </c>
      <c r="I190" s="9" t="s">
        <v>108</v>
      </c>
      <c r="J190" s="9" t="s">
        <v>109</v>
      </c>
      <c r="K190" s="9" t="s">
        <v>110</v>
      </c>
      <c r="L190" s="9" t="s">
        <v>111</v>
      </c>
      <c r="M190" s="9" t="s">
        <v>112</v>
      </c>
      <c r="N190" s="8">
        <v>90</v>
      </c>
      <c r="O190" s="8" t="s">
        <v>28</v>
      </c>
      <c r="P190" s="9" t="s">
        <v>113</v>
      </c>
      <c r="Q190" s="8" t="s">
        <v>30</v>
      </c>
      <c r="R190" s="8">
        <f>MONTH(Tabela1[[#This Row],[Data]])</f>
        <v>3</v>
      </c>
    </row>
    <row r="191" spans="1:18" ht="42" hidden="1" x14ac:dyDescent="0.35">
      <c r="A191" s="14">
        <v>46090</v>
      </c>
      <c r="B191" s="8" t="s">
        <v>83</v>
      </c>
      <c r="C191" s="9" t="s">
        <v>266</v>
      </c>
      <c r="D191" s="9" t="s">
        <v>84</v>
      </c>
      <c r="E191" s="9" t="s">
        <v>267</v>
      </c>
      <c r="F191" s="9" t="s">
        <v>54</v>
      </c>
      <c r="G191" s="8" t="s">
        <v>114</v>
      </c>
      <c r="H191" s="9" t="s">
        <v>175</v>
      </c>
      <c r="I191" s="9" t="s">
        <v>176</v>
      </c>
      <c r="J191" s="9" t="s">
        <v>177</v>
      </c>
      <c r="K191" s="9" t="s">
        <v>178</v>
      </c>
      <c r="L191" s="9" t="s">
        <v>179</v>
      </c>
      <c r="M191" s="9" t="s">
        <v>180</v>
      </c>
      <c r="N191" s="8">
        <v>35</v>
      </c>
      <c r="O191" s="8" t="s">
        <v>28</v>
      </c>
      <c r="P191" s="9" t="s">
        <v>181</v>
      </c>
      <c r="Q191" s="8" t="s">
        <v>30</v>
      </c>
      <c r="R191" s="8">
        <f>MONTH(Tabela1[[#This Row],[Data]])</f>
        <v>3</v>
      </c>
    </row>
    <row r="192" spans="1:18" ht="42" hidden="1" x14ac:dyDescent="0.35">
      <c r="A192" s="14">
        <v>46091</v>
      </c>
      <c r="B192" s="8" t="s">
        <v>120</v>
      </c>
      <c r="C192" s="9" t="s">
        <v>266</v>
      </c>
      <c r="D192" s="9" t="s">
        <v>19</v>
      </c>
      <c r="E192" s="9" t="s">
        <v>267</v>
      </c>
      <c r="F192" s="9" t="s">
        <v>54</v>
      </c>
      <c r="G192" s="8" t="s">
        <v>121</v>
      </c>
      <c r="H192" s="9" t="s">
        <v>44</v>
      </c>
      <c r="I192" s="9" t="s">
        <v>122</v>
      </c>
      <c r="J192" s="9" t="s">
        <v>123</v>
      </c>
      <c r="K192" s="9" t="s">
        <v>47</v>
      </c>
      <c r="L192" s="9" t="s">
        <v>124</v>
      </c>
      <c r="M192" s="9" t="s">
        <v>125</v>
      </c>
      <c r="N192" s="8">
        <v>30</v>
      </c>
      <c r="O192" s="8" t="s">
        <v>28</v>
      </c>
      <c r="P192" s="9" t="s">
        <v>126</v>
      </c>
      <c r="Q192" s="8" t="s">
        <v>30</v>
      </c>
      <c r="R192" s="8">
        <f>MONTH(Tabela1[[#This Row],[Data]])</f>
        <v>3</v>
      </c>
    </row>
    <row r="193" spans="1:18" ht="42" hidden="1" x14ac:dyDescent="0.35">
      <c r="A193" s="14">
        <v>46091</v>
      </c>
      <c r="B193" s="8" t="s">
        <v>120</v>
      </c>
      <c r="C193" s="9" t="s">
        <v>266</v>
      </c>
      <c r="D193" s="9" t="s">
        <v>19</v>
      </c>
      <c r="E193" s="9" t="s">
        <v>267</v>
      </c>
      <c r="F193" s="9" t="s">
        <v>54</v>
      </c>
      <c r="G193" s="8" t="s">
        <v>114</v>
      </c>
      <c r="H193" s="9" t="s">
        <v>44</v>
      </c>
      <c r="I193" s="9" t="s">
        <v>127</v>
      </c>
      <c r="J193" s="9" t="s">
        <v>128</v>
      </c>
      <c r="K193" s="9" t="s">
        <v>47</v>
      </c>
      <c r="L193" s="9" t="s">
        <v>129</v>
      </c>
      <c r="M193" s="9" t="s">
        <v>272</v>
      </c>
      <c r="N193" s="8">
        <v>30</v>
      </c>
      <c r="O193" s="8" t="s">
        <v>28</v>
      </c>
      <c r="P193" s="9" t="s">
        <v>131</v>
      </c>
      <c r="Q193" s="8" t="s">
        <v>30</v>
      </c>
      <c r="R193" s="8">
        <f>MONTH(Tabela1[[#This Row],[Data]])</f>
        <v>3</v>
      </c>
    </row>
    <row r="194" spans="1:18" ht="28" hidden="1" x14ac:dyDescent="0.35">
      <c r="A194" s="14">
        <v>46091</v>
      </c>
      <c r="B194" s="8" t="s">
        <v>120</v>
      </c>
      <c r="C194" s="9" t="s">
        <v>266</v>
      </c>
      <c r="D194" s="9" t="s">
        <v>19</v>
      </c>
      <c r="E194" s="9" t="s">
        <v>267</v>
      </c>
      <c r="F194" s="9" t="s">
        <v>54</v>
      </c>
      <c r="G194" s="8" t="s">
        <v>121</v>
      </c>
      <c r="H194" s="9" t="s">
        <v>132</v>
      </c>
      <c r="I194" s="9" t="s">
        <v>133</v>
      </c>
      <c r="J194" s="9" t="s">
        <v>134</v>
      </c>
      <c r="K194" s="9" t="s">
        <v>101</v>
      </c>
      <c r="L194" s="9" t="s">
        <v>135</v>
      </c>
      <c r="M194" s="9" t="s">
        <v>136</v>
      </c>
      <c r="N194" s="8">
        <v>20</v>
      </c>
      <c r="O194" s="8" t="s">
        <v>80</v>
      </c>
      <c r="P194" s="9" t="s">
        <v>137</v>
      </c>
      <c r="Q194" s="8" t="s">
        <v>30</v>
      </c>
      <c r="R194" s="8">
        <f>MONTH(Tabela1[[#This Row],[Data]])</f>
        <v>3</v>
      </c>
    </row>
    <row r="195" spans="1:18" ht="28" hidden="1" x14ac:dyDescent="0.35">
      <c r="A195" s="14">
        <v>46092</v>
      </c>
      <c r="B195" s="8" t="s">
        <v>138</v>
      </c>
      <c r="C195" s="9" t="s">
        <v>266</v>
      </c>
      <c r="D195" s="9" t="s">
        <v>19</v>
      </c>
      <c r="E195" s="9" t="s">
        <v>267</v>
      </c>
      <c r="F195" s="9" t="s">
        <v>54</v>
      </c>
      <c r="G195" s="8" t="s">
        <v>114</v>
      </c>
      <c r="H195" s="9" t="s">
        <v>37</v>
      </c>
      <c r="I195" s="9" t="s">
        <v>139</v>
      </c>
      <c r="J195" s="9" t="s">
        <v>140</v>
      </c>
      <c r="K195" s="9" t="s">
        <v>141</v>
      </c>
      <c r="L195" s="9" t="s">
        <v>41</v>
      </c>
      <c r="M195" s="9" t="s">
        <v>142</v>
      </c>
      <c r="N195" s="8">
        <v>35</v>
      </c>
      <c r="O195" s="8" t="s">
        <v>28</v>
      </c>
      <c r="P195" s="9" t="s">
        <v>143</v>
      </c>
      <c r="Q195" s="8" t="s">
        <v>30</v>
      </c>
      <c r="R195" s="8">
        <f>MONTH(Tabela1[[#This Row],[Data]])</f>
        <v>3</v>
      </c>
    </row>
    <row r="196" spans="1:18" ht="42" hidden="1" x14ac:dyDescent="0.35">
      <c r="A196" s="14">
        <v>46092</v>
      </c>
      <c r="B196" s="8" t="s">
        <v>138</v>
      </c>
      <c r="C196" s="9" t="s">
        <v>266</v>
      </c>
      <c r="D196" s="9" t="s">
        <v>19</v>
      </c>
      <c r="E196" s="9" t="s">
        <v>267</v>
      </c>
      <c r="F196" s="9" t="s">
        <v>54</v>
      </c>
      <c r="G196" s="8" t="s">
        <v>114</v>
      </c>
      <c r="H196" s="9" t="s">
        <v>75</v>
      </c>
      <c r="I196" s="9" t="s">
        <v>144</v>
      </c>
      <c r="J196" s="9" t="s">
        <v>145</v>
      </c>
      <c r="K196" s="9" t="s">
        <v>47</v>
      </c>
      <c r="L196" s="9" t="s">
        <v>26</v>
      </c>
      <c r="M196" s="9" t="s">
        <v>146</v>
      </c>
      <c r="N196" s="8">
        <v>30</v>
      </c>
      <c r="O196" s="8" t="s">
        <v>28</v>
      </c>
      <c r="P196" s="9" t="s">
        <v>147</v>
      </c>
      <c r="Q196" s="8" t="s">
        <v>30</v>
      </c>
      <c r="R196" s="8">
        <f>MONTH(Tabela1[[#This Row],[Data]])</f>
        <v>3</v>
      </c>
    </row>
    <row r="197" spans="1:18" ht="42" hidden="1" x14ac:dyDescent="0.35">
      <c r="A197" s="14">
        <v>46092</v>
      </c>
      <c r="B197" s="8" t="s">
        <v>138</v>
      </c>
      <c r="C197" s="9" t="s">
        <v>266</v>
      </c>
      <c r="D197" s="9" t="s">
        <v>19</v>
      </c>
      <c r="E197" s="9" t="s">
        <v>267</v>
      </c>
      <c r="F197" s="9" t="s">
        <v>54</v>
      </c>
      <c r="G197" s="8" t="s">
        <v>114</v>
      </c>
      <c r="H197" s="9" t="s">
        <v>44</v>
      </c>
      <c r="I197" s="9" t="s">
        <v>183</v>
      </c>
      <c r="J197" s="9" t="s">
        <v>184</v>
      </c>
      <c r="K197" s="9" t="s">
        <v>47</v>
      </c>
      <c r="L197" s="9" t="s">
        <v>185</v>
      </c>
      <c r="M197" s="9" t="s">
        <v>186</v>
      </c>
      <c r="N197" s="8">
        <v>25</v>
      </c>
      <c r="O197" s="8" t="s">
        <v>28</v>
      </c>
      <c r="P197" s="9" t="s">
        <v>187</v>
      </c>
      <c r="Q197" s="8" t="s">
        <v>30</v>
      </c>
      <c r="R197" s="8">
        <f>MONTH(Tabela1[[#This Row],[Data]])</f>
        <v>3</v>
      </c>
    </row>
    <row r="198" spans="1:18" ht="42" hidden="1" x14ac:dyDescent="0.35">
      <c r="A198" s="14">
        <v>46093</v>
      </c>
      <c r="B198" s="8" t="s">
        <v>17</v>
      </c>
      <c r="C198" s="9" t="s">
        <v>266</v>
      </c>
      <c r="D198" s="9" t="s">
        <v>19</v>
      </c>
      <c r="E198" s="9" t="s">
        <v>267</v>
      </c>
      <c r="F198" s="9" t="s">
        <v>54</v>
      </c>
      <c r="G198" s="8" t="s">
        <v>121</v>
      </c>
      <c r="H198" s="9" t="s">
        <v>132</v>
      </c>
      <c r="I198" s="9" t="s">
        <v>148</v>
      </c>
      <c r="J198" s="9" t="s">
        <v>149</v>
      </c>
      <c r="K198" s="9" t="s">
        <v>150</v>
      </c>
      <c r="L198" s="9" t="s">
        <v>151</v>
      </c>
      <c r="M198" s="9" t="s">
        <v>152</v>
      </c>
      <c r="N198" s="8">
        <v>40</v>
      </c>
      <c r="O198" s="8" t="s">
        <v>28</v>
      </c>
      <c r="P198" s="9" t="s">
        <v>153</v>
      </c>
      <c r="Q198" s="8" t="s">
        <v>30</v>
      </c>
      <c r="R198" s="8">
        <f>MONTH(Tabela1[[#This Row],[Data]])</f>
        <v>3</v>
      </c>
    </row>
    <row r="199" spans="1:18" ht="42" hidden="1" x14ac:dyDescent="0.35">
      <c r="A199" s="14">
        <v>46093</v>
      </c>
      <c r="B199" s="8" t="s">
        <v>17</v>
      </c>
      <c r="C199" s="9" t="s">
        <v>266</v>
      </c>
      <c r="D199" s="9" t="s">
        <v>19</v>
      </c>
      <c r="E199" s="9" t="s">
        <v>267</v>
      </c>
      <c r="F199" s="9" t="s">
        <v>54</v>
      </c>
      <c r="G199" s="8" t="s">
        <v>121</v>
      </c>
      <c r="H199" s="9" t="s">
        <v>44</v>
      </c>
      <c r="I199" s="9" t="s">
        <v>154</v>
      </c>
      <c r="J199" s="9" t="s">
        <v>155</v>
      </c>
      <c r="K199" s="9" t="s">
        <v>47</v>
      </c>
      <c r="L199" s="9" t="s">
        <v>41</v>
      </c>
      <c r="M199" s="9" t="s">
        <v>156</v>
      </c>
      <c r="N199" s="8">
        <v>25</v>
      </c>
      <c r="O199" s="8" t="s">
        <v>80</v>
      </c>
      <c r="P199" s="9" t="s">
        <v>157</v>
      </c>
      <c r="Q199" s="8" t="s">
        <v>30</v>
      </c>
      <c r="R199" s="8">
        <f>MONTH(Tabela1[[#This Row],[Data]])</f>
        <v>3</v>
      </c>
    </row>
    <row r="200" spans="1:18" ht="42" hidden="1" x14ac:dyDescent="0.35">
      <c r="A200" s="14">
        <v>46094</v>
      </c>
      <c r="B200" s="8" t="s">
        <v>36</v>
      </c>
      <c r="C200" s="9" t="s">
        <v>266</v>
      </c>
      <c r="D200" s="9" t="s">
        <v>19</v>
      </c>
      <c r="E200" s="9" t="s">
        <v>267</v>
      </c>
      <c r="F200" s="9" t="s">
        <v>54</v>
      </c>
      <c r="G200" s="8" t="s">
        <v>114</v>
      </c>
      <c r="H200" s="9" t="s">
        <v>158</v>
      </c>
      <c r="I200" s="9" t="s">
        <v>159</v>
      </c>
      <c r="J200" s="9" t="s">
        <v>160</v>
      </c>
      <c r="K200" s="9" t="s">
        <v>161</v>
      </c>
      <c r="L200" s="9" t="s">
        <v>41</v>
      </c>
      <c r="M200" s="9" t="s">
        <v>162</v>
      </c>
      <c r="N200" s="8">
        <v>50</v>
      </c>
      <c r="O200" s="8" t="s">
        <v>28</v>
      </c>
      <c r="P200" s="9" t="s">
        <v>163</v>
      </c>
      <c r="Q200" s="8" t="s">
        <v>30</v>
      </c>
      <c r="R200" s="8">
        <f>MONTH(Tabela1[[#This Row],[Data]])</f>
        <v>3</v>
      </c>
    </row>
    <row r="201" spans="1:18" ht="42" hidden="1" x14ac:dyDescent="0.35">
      <c r="A201" s="14">
        <v>46094</v>
      </c>
      <c r="B201" s="8" t="s">
        <v>36</v>
      </c>
      <c r="C201" s="9" t="s">
        <v>266</v>
      </c>
      <c r="D201" s="9" t="s">
        <v>19</v>
      </c>
      <c r="E201" s="9" t="s">
        <v>267</v>
      </c>
      <c r="F201" s="9" t="s">
        <v>54</v>
      </c>
      <c r="G201" s="8" t="s">
        <v>114</v>
      </c>
      <c r="H201" s="9" t="s">
        <v>188</v>
      </c>
      <c r="I201" s="9" t="s">
        <v>189</v>
      </c>
      <c r="J201" s="9" t="s">
        <v>190</v>
      </c>
      <c r="K201" s="9" t="s">
        <v>191</v>
      </c>
      <c r="L201" s="9" t="s">
        <v>192</v>
      </c>
      <c r="M201" s="9" t="s">
        <v>193</v>
      </c>
      <c r="N201" s="8">
        <v>35</v>
      </c>
      <c r="O201" s="8" t="s">
        <v>28</v>
      </c>
      <c r="P201" s="9" t="s">
        <v>194</v>
      </c>
      <c r="Q201" s="8" t="s">
        <v>30</v>
      </c>
      <c r="R201" s="8">
        <f>MONTH(Tabela1[[#This Row],[Data]])</f>
        <v>3</v>
      </c>
    </row>
    <row r="202" spans="1:18" ht="28" hidden="1" x14ac:dyDescent="0.35">
      <c r="A202" s="14">
        <v>46094</v>
      </c>
      <c r="B202" s="8" t="s">
        <v>36</v>
      </c>
      <c r="C202" s="9" t="s">
        <v>266</v>
      </c>
      <c r="D202" s="9" t="s">
        <v>19</v>
      </c>
      <c r="E202" s="9" t="s">
        <v>267</v>
      </c>
      <c r="F202" s="9" t="s">
        <v>54</v>
      </c>
      <c r="G202" s="8" t="s">
        <v>121</v>
      </c>
      <c r="H202" s="9" t="s">
        <v>164</v>
      </c>
      <c r="I202" s="9" t="s">
        <v>165</v>
      </c>
      <c r="J202" s="9" t="s">
        <v>166</v>
      </c>
      <c r="K202" s="9" t="s">
        <v>23</v>
      </c>
      <c r="L202" s="9" t="s">
        <v>26</v>
      </c>
      <c r="M202" s="9" t="s">
        <v>167</v>
      </c>
      <c r="N202" s="8">
        <v>20</v>
      </c>
      <c r="O202" s="8" t="s">
        <v>80</v>
      </c>
      <c r="P202" s="9" t="s">
        <v>168</v>
      </c>
      <c r="Q202" s="8" t="s">
        <v>30</v>
      </c>
      <c r="R202" s="8">
        <f>MONTH(Tabela1[[#This Row],[Data]])</f>
        <v>3</v>
      </c>
    </row>
    <row r="203" spans="1:18" ht="42" hidden="1" x14ac:dyDescent="0.35">
      <c r="A203" s="14">
        <v>46095</v>
      </c>
      <c r="B203" s="8" t="s">
        <v>50</v>
      </c>
      <c r="C203" s="9" t="s">
        <v>273</v>
      </c>
      <c r="D203" s="9" t="s">
        <v>52</v>
      </c>
      <c r="E203" s="9" t="s">
        <v>274</v>
      </c>
      <c r="F203" s="9" t="s">
        <v>60</v>
      </c>
      <c r="G203" s="8" t="s">
        <v>61</v>
      </c>
      <c r="H203" s="9" t="s">
        <v>62</v>
      </c>
      <c r="I203" s="9" t="s">
        <v>63</v>
      </c>
      <c r="J203" s="9" t="s">
        <v>64</v>
      </c>
      <c r="K203" s="9" t="s">
        <v>65</v>
      </c>
      <c r="L203" s="9" t="s">
        <v>275</v>
      </c>
      <c r="M203" s="9" t="s">
        <v>276</v>
      </c>
      <c r="N203" s="8">
        <v>70</v>
      </c>
      <c r="O203" s="8" t="s">
        <v>28</v>
      </c>
      <c r="P203" s="9" t="s">
        <v>68</v>
      </c>
      <c r="Q203" s="8" t="s">
        <v>30</v>
      </c>
      <c r="R203" s="8">
        <f>MONTH(Tabela1[[#This Row],[Data]])</f>
        <v>3</v>
      </c>
    </row>
    <row r="204" spans="1:18" ht="42" hidden="1" x14ac:dyDescent="0.35">
      <c r="A204" s="14">
        <v>46095</v>
      </c>
      <c r="B204" s="8" t="s">
        <v>50</v>
      </c>
      <c r="C204" s="9" t="s">
        <v>273</v>
      </c>
      <c r="D204" s="9" t="s">
        <v>52</v>
      </c>
      <c r="E204" s="9" t="s">
        <v>274</v>
      </c>
      <c r="F204" s="9" t="s">
        <v>60</v>
      </c>
      <c r="G204" s="8" t="s">
        <v>61</v>
      </c>
      <c r="H204" s="9" t="s">
        <v>69</v>
      </c>
      <c r="I204" s="9" t="s">
        <v>70</v>
      </c>
      <c r="J204" s="9" t="s">
        <v>71</v>
      </c>
      <c r="K204" s="9" t="s">
        <v>72</v>
      </c>
      <c r="L204" s="9" t="s">
        <v>26</v>
      </c>
      <c r="M204" s="9" t="s">
        <v>73</v>
      </c>
      <c r="N204" s="8">
        <v>80</v>
      </c>
      <c r="O204" s="8" t="s">
        <v>28</v>
      </c>
      <c r="P204" s="9" t="s">
        <v>74</v>
      </c>
      <c r="Q204" s="8" t="s">
        <v>30</v>
      </c>
      <c r="R204" s="8">
        <f>MONTH(Tabela1[[#This Row],[Data]])</f>
        <v>3</v>
      </c>
    </row>
    <row r="205" spans="1:18" ht="42" hidden="1" x14ac:dyDescent="0.35">
      <c r="A205" s="14">
        <v>46095</v>
      </c>
      <c r="B205" s="8" t="s">
        <v>50</v>
      </c>
      <c r="C205" s="9" t="s">
        <v>273</v>
      </c>
      <c r="D205" s="9" t="s">
        <v>52</v>
      </c>
      <c r="E205" s="9" t="s">
        <v>274</v>
      </c>
      <c r="F205" s="9" t="s">
        <v>60</v>
      </c>
      <c r="G205" s="8" t="s">
        <v>61</v>
      </c>
      <c r="H205" s="9" t="s">
        <v>75</v>
      </c>
      <c r="I205" s="9" t="s">
        <v>76</v>
      </c>
      <c r="J205" s="9" t="s">
        <v>77</v>
      </c>
      <c r="K205" s="9" t="s">
        <v>78</v>
      </c>
      <c r="L205" s="9" t="s">
        <v>26</v>
      </c>
      <c r="M205" s="9" t="s">
        <v>79</v>
      </c>
      <c r="N205" s="8">
        <v>35</v>
      </c>
      <c r="O205" s="8" t="s">
        <v>80</v>
      </c>
      <c r="P205" s="9" t="s">
        <v>81</v>
      </c>
      <c r="Q205" s="8" t="s">
        <v>30</v>
      </c>
      <c r="R205" s="8">
        <f>MONTH(Tabela1[[#This Row],[Data]])</f>
        <v>3</v>
      </c>
    </row>
    <row r="206" spans="1:18" ht="42" hidden="1" x14ac:dyDescent="0.35">
      <c r="A206" s="14">
        <v>46097</v>
      </c>
      <c r="B206" s="8" t="s">
        <v>83</v>
      </c>
      <c r="C206" s="9" t="s">
        <v>273</v>
      </c>
      <c r="D206" s="9" t="s">
        <v>84</v>
      </c>
      <c r="E206" s="9" t="s">
        <v>274</v>
      </c>
      <c r="F206" s="9" t="s">
        <v>85</v>
      </c>
      <c r="G206" s="8" t="s">
        <v>86</v>
      </c>
      <c r="H206" s="9" t="s">
        <v>87</v>
      </c>
      <c r="I206" s="9" t="s">
        <v>88</v>
      </c>
      <c r="J206" s="9" t="s">
        <v>89</v>
      </c>
      <c r="K206" s="9" t="s">
        <v>90</v>
      </c>
      <c r="L206" s="9" t="s">
        <v>91</v>
      </c>
      <c r="M206" s="9" t="s">
        <v>278</v>
      </c>
      <c r="N206" s="8">
        <v>150</v>
      </c>
      <c r="O206" s="8" t="s">
        <v>28</v>
      </c>
      <c r="P206" s="9" t="s">
        <v>93</v>
      </c>
      <c r="Q206" s="8" t="s">
        <v>30</v>
      </c>
      <c r="R206" s="8">
        <f>MONTH(Tabela1[[#This Row],[Data]])</f>
        <v>3</v>
      </c>
    </row>
    <row r="207" spans="1:18" ht="28" hidden="1" x14ac:dyDescent="0.35">
      <c r="A207" s="14">
        <v>46097</v>
      </c>
      <c r="B207" s="8" t="s">
        <v>83</v>
      </c>
      <c r="C207" s="9" t="s">
        <v>273</v>
      </c>
      <c r="D207" s="9" t="s">
        <v>84</v>
      </c>
      <c r="E207" s="9" t="s">
        <v>274</v>
      </c>
      <c r="F207" s="9" t="s">
        <v>85</v>
      </c>
      <c r="G207" s="8" t="s">
        <v>86</v>
      </c>
      <c r="H207" s="9" t="s">
        <v>94</v>
      </c>
      <c r="I207" s="9" t="s">
        <v>95</v>
      </c>
      <c r="J207" s="9" t="s">
        <v>96</v>
      </c>
      <c r="K207" s="9" t="s">
        <v>97</v>
      </c>
      <c r="L207" s="9" t="s">
        <v>98</v>
      </c>
      <c r="M207" s="9" t="s">
        <v>99</v>
      </c>
      <c r="N207" s="8">
        <v>60</v>
      </c>
      <c r="O207" s="8" t="s">
        <v>28</v>
      </c>
      <c r="P207" s="9" t="s">
        <v>100</v>
      </c>
      <c r="Q207" s="8" t="s">
        <v>30</v>
      </c>
      <c r="R207" s="8">
        <f>MONTH(Tabela1[[#This Row],[Data]])</f>
        <v>3</v>
      </c>
    </row>
    <row r="208" spans="1:18" ht="56" hidden="1" x14ac:dyDescent="0.35">
      <c r="A208" s="14">
        <v>46097</v>
      </c>
      <c r="B208" s="8" t="s">
        <v>83</v>
      </c>
      <c r="C208" s="9" t="s">
        <v>273</v>
      </c>
      <c r="D208" s="9" t="s">
        <v>84</v>
      </c>
      <c r="E208" s="9" t="s">
        <v>274</v>
      </c>
      <c r="F208" s="9" t="s">
        <v>85</v>
      </c>
      <c r="G208" s="8" t="s">
        <v>86</v>
      </c>
      <c r="H208" s="9" t="s">
        <v>101</v>
      </c>
      <c r="I208" s="9" t="s">
        <v>102</v>
      </c>
      <c r="J208" s="9" t="s">
        <v>103</v>
      </c>
      <c r="K208" s="9" t="s">
        <v>101</v>
      </c>
      <c r="L208" s="9" t="s">
        <v>104</v>
      </c>
      <c r="M208" s="9" t="s">
        <v>105</v>
      </c>
      <c r="N208" s="8">
        <v>60</v>
      </c>
      <c r="O208" s="8" t="s">
        <v>28</v>
      </c>
      <c r="P208" s="9" t="s">
        <v>106</v>
      </c>
      <c r="Q208" s="8" t="s">
        <v>30</v>
      </c>
      <c r="R208" s="8">
        <f>MONTH(Tabela1[[#This Row],[Data]])</f>
        <v>3</v>
      </c>
    </row>
    <row r="209" spans="1:18" ht="28" hidden="1" x14ac:dyDescent="0.35">
      <c r="A209" s="14">
        <v>46097</v>
      </c>
      <c r="B209" s="8" t="s">
        <v>83</v>
      </c>
      <c r="C209" s="9" t="s">
        <v>273</v>
      </c>
      <c r="D209" s="9" t="s">
        <v>84</v>
      </c>
      <c r="E209" s="9" t="s">
        <v>274</v>
      </c>
      <c r="F209" s="9" t="s">
        <v>85</v>
      </c>
      <c r="G209" s="8" t="s">
        <v>86</v>
      </c>
      <c r="H209" s="9" t="s">
        <v>107</v>
      </c>
      <c r="I209" s="9" t="s">
        <v>108</v>
      </c>
      <c r="J209" s="9" t="s">
        <v>109</v>
      </c>
      <c r="K209" s="9" t="s">
        <v>110</v>
      </c>
      <c r="L209" s="9" t="s">
        <v>111</v>
      </c>
      <c r="M209" s="9" t="s">
        <v>112</v>
      </c>
      <c r="N209" s="8">
        <v>90</v>
      </c>
      <c r="O209" s="8" t="s">
        <v>28</v>
      </c>
      <c r="P209" s="9" t="s">
        <v>113</v>
      </c>
      <c r="Q209" s="8" t="s">
        <v>30</v>
      </c>
      <c r="R209" s="8">
        <f>MONTH(Tabela1[[#This Row],[Data]])</f>
        <v>3</v>
      </c>
    </row>
    <row r="210" spans="1:18" ht="28" hidden="1" x14ac:dyDescent="0.35">
      <c r="A210" s="14">
        <v>46097</v>
      </c>
      <c r="B210" s="8" t="s">
        <v>83</v>
      </c>
      <c r="C210" s="9" t="s">
        <v>273</v>
      </c>
      <c r="D210" s="9" t="s">
        <v>84</v>
      </c>
      <c r="E210" s="9" t="s">
        <v>274</v>
      </c>
      <c r="F210" s="9" t="s">
        <v>54</v>
      </c>
      <c r="G210" s="8" t="s">
        <v>114</v>
      </c>
      <c r="H210" s="9" t="s">
        <v>115</v>
      </c>
      <c r="I210" s="9" t="s">
        <v>116</v>
      </c>
      <c r="J210" s="9" t="s">
        <v>117</v>
      </c>
      <c r="K210" s="9" t="s">
        <v>23</v>
      </c>
      <c r="L210" s="9" t="s">
        <v>26</v>
      </c>
      <c r="M210" s="9" t="s">
        <v>118</v>
      </c>
      <c r="N210" s="8">
        <v>20</v>
      </c>
      <c r="O210" s="8" t="s">
        <v>80</v>
      </c>
      <c r="P210" s="9" t="s">
        <v>119</v>
      </c>
      <c r="Q210" s="8" t="s">
        <v>30</v>
      </c>
      <c r="R210" s="8">
        <f>MONTH(Tabela1[[#This Row],[Data]])</f>
        <v>3</v>
      </c>
    </row>
    <row r="211" spans="1:18" ht="42" hidden="1" x14ac:dyDescent="0.35">
      <c r="A211" s="14">
        <v>46098</v>
      </c>
      <c r="B211" s="8" t="s">
        <v>120</v>
      </c>
      <c r="C211" s="9" t="s">
        <v>273</v>
      </c>
      <c r="D211" s="9" t="s">
        <v>19</v>
      </c>
      <c r="E211" s="9" t="s">
        <v>274</v>
      </c>
      <c r="F211" s="9" t="s">
        <v>54</v>
      </c>
      <c r="G211" s="8" t="s">
        <v>121</v>
      </c>
      <c r="H211" s="9" t="s">
        <v>44</v>
      </c>
      <c r="I211" s="9" t="s">
        <v>122</v>
      </c>
      <c r="J211" s="9" t="s">
        <v>123</v>
      </c>
      <c r="K211" s="9" t="s">
        <v>47</v>
      </c>
      <c r="L211" s="9" t="s">
        <v>124</v>
      </c>
      <c r="M211" s="9" t="s">
        <v>125</v>
      </c>
      <c r="N211" s="8">
        <v>30</v>
      </c>
      <c r="O211" s="8" t="s">
        <v>28</v>
      </c>
      <c r="P211" s="9" t="s">
        <v>126</v>
      </c>
      <c r="Q211" s="8" t="s">
        <v>30</v>
      </c>
      <c r="R211" s="8">
        <f>MONTH(Tabela1[[#This Row],[Data]])</f>
        <v>3</v>
      </c>
    </row>
    <row r="212" spans="1:18" ht="42" hidden="1" x14ac:dyDescent="0.35">
      <c r="A212" s="14">
        <v>46098</v>
      </c>
      <c r="B212" s="8" t="s">
        <v>120</v>
      </c>
      <c r="C212" s="9" t="s">
        <v>273</v>
      </c>
      <c r="D212" s="9" t="s">
        <v>19</v>
      </c>
      <c r="E212" s="9" t="s">
        <v>274</v>
      </c>
      <c r="F212" s="9" t="s">
        <v>54</v>
      </c>
      <c r="G212" s="8" t="s">
        <v>114</v>
      </c>
      <c r="H212" s="9" t="s">
        <v>44</v>
      </c>
      <c r="I212" s="9" t="s">
        <v>127</v>
      </c>
      <c r="J212" s="9" t="s">
        <v>128</v>
      </c>
      <c r="K212" s="9" t="s">
        <v>47</v>
      </c>
      <c r="L212" s="9" t="s">
        <v>129</v>
      </c>
      <c r="M212" s="9" t="s">
        <v>279</v>
      </c>
      <c r="N212" s="8">
        <v>30</v>
      </c>
      <c r="O212" s="8" t="s">
        <v>28</v>
      </c>
      <c r="P212" s="9" t="s">
        <v>131</v>
      </c>
      <c r="Q212" s="8" t="s">
        <v>30</v>
      </c>
      <c r="R212" s="8">
        <f>MONTH(Tabela1[[#This Row],[Data]])</f>
        <v>3</v>
      </c>
    </row>
    <row r="213" spans="1:18" ht="28" hidden="1" x14ac:dyDescent="0.35">
      <c r="A213" s="14">
        <v>46098</v>
      </c>
      <c r="B213" s="8" t="s">
        <v>120</v>
      </c>
      <c r="C213" s="9" t="s">
        <v>273</v>
      </c>
      <c r="D213" s="9" t="s">
        <v>19</v>
      </c>
      <c r="E213" s="9" t="s">
        <v>274</v>
      </c>
      <c r="F213" s="9" t="s">
        <v>54</v>
      </c>
      <c r="G213" s="8" t="s">
        <v>121</v>
      </c>
      <c r="H213" s="9" t="s">
        <v>132</v>
      </c>
      <c r="I213" s="9" t="s">
        <v>133</v>
      </c>
      <c r="J213" s="9" t="s">
        <v>134</v>
      </c>
      <c r="K213" s="9" t="s">
        <v>101</v>
      </c>
      <c r="L213" s="9" t="s">
        <v>135</v>
      </c>
      <c r="M213" s="9" t="s">
        <v>136</v>
      </c>
      <c r="N213" s="8">
        <v>20</v>
      </c>
      <c r="O213" s="8" t="s">
        <v>80</v>
      </c>
      <c r="P213" s="9" t="s">
        <v>137</v>
      </c>
      <c r="Q213" s="8" t="s">
        <v>30</v>
      </c>
      <c r="R213" s="8">
        <f>MONTH(Tabela1[[#This Row],[Data]])</f>
        <v>3</v>
      </c>
    </row>
    <row r="214" spans="1:18" ht="28" hidden="1" x14ac:dyDescent="0.35">
      <c r="A214" s="14">
        <v>46099</v>
      </c>
      <c r="B214" s="8" t="s">
        <v>138</v>
      </c>
      <c r="C214" s="9" t="s">
        <v>273</v>
      </c>
      <c r="D214" s="9" t="s">
        <v>19</v>
      </c>
      <c r="E214" s="9" t="s">
        <v>274</v>
      </c>
      <c r="F214" s="9" t="s">
        <v>54</v>
      </c>
      <c r="G214" s="8" t="s">
        <v>114</v>
      </c>
      <c r="H214" s="9" t="s">
        <v>37</v>
      </c>
      <c r="I214" s="9" t="s">
        <v>139</v>
      </c>
      <c r="J214" s="9" t="s">
        <v>140</v>
      </c>
      <c r="K214" s="9" t="s">
        <v>141</v>
      </c>
      <c r="L214" s="9" t="s">
        <v>41</v>
      </c>
      <c r="M214" s="9" t="s">
        <v>142</v>
      </c>
      <c r="N214" s="8">
        <v>35</v>
      </c>
      <c r="O214" s="8" t="s">
        <v>28</v>
      </c>
      <c r="P214" s="9" t="s">
        <v>143</v>
      </c>
      <c r="Q214" s="8" t="s">
        <v>30</v>
      </c>
      <c r="R214" s="8">
        <f>MONTH(Tabela1[[#This Row],[Data]])</f>
        <v>3</v>
      </c>
    </row>
    <row r="215" spans="1:18" ht="42" hidden="1" x14ac:dyDescent="0.35">
      <c r="A215" s="14">
        <v>46099</v>
      </c>
      <c r="B215" s="8" t="s">
        <v>138</v>
      </c>
      <c r="C215" s="9" t="s">
        <v>273</v>
      </c>
      <c r="D215" s="9" t="s">
        <v>19</v>
      </c>
      <c r="E215" s="9" t="s">
        <v>274</v>
      </c>
      <c r="F215" s="9" t="s">
        <v>54</v>
      </c>
      <c r="G215" s="8" t="s">
        <v>114</v>
      </c>
      <c r="H215" s="9" t="s">
        <v>75</v>
      </c>
      <c r="I215" s="9" t="s">
        <v>144</v>
      </c>
      <c r="J215" s="9" t="s">
        <v>145</v>
      </c>
      <c r="K215" s="9" t="s">
        <v>47</v>
      </c>
      <c r="L215" s="9" t="s">
        <v>26</v>
      </c>
      <c r="M215" s="9" t="s">
        <v>146</v>
      </c>
      <c r="N215" s="8">
        <v>30</v>
      </c>
      <c r="O215" s="8" t="s">
        <v>28</v>
      </c>
      <c r="P215" s="9" t="s">
        <v>147</v>
      </c>
      <c r="Q215" s="8" t="s">
        <v>30</v>
      </c>
      <c r="R215" s="8">
        <f>MONTH(Tabela1[[#This Row],[Data]])</f>
        <v>3</v>
      </c>
    </row>
    <row r="216" spans="1:18" ht="42" hidden="1" x14ac:dyDescent="0.35">
      <c r="A216" s="14">
        <v>46100</v>
      </c>
      <c r="B216" s="8" t="s">
        <v>17</v>
      </c>
      <c r="C216" s="9" t="s">
        <v>273</v>
      </c>
      <c r="D216" s="9" t="s">
        <v>19</v>
      </c>
      <c r="E216" s="9" t="s">
        <v>274</v>
      </c>
      <c r="F216" s="9" t="s">
        <v>54</v>
      </c>
      <c r="G216" s="8" t="s">
        <v>121</v>
      </c>
      <c r="H216" s="9" t="s">
        <v>132</v>
      </c>
      <c r="I216" s="9" t="s">
        <v>148</v>
      </c>
      <c r="J216" s="9" t="s">
        <v>149</v>
      </c>
      <c r="K216" s="9" t="s">
        <v>150</v>
      </c>
      <c r="L216" s="9" t="s">
        <v>151</v>
      </c>
      <c r="M216" s="9" t="s">
        <v>152</v>
      </c>
      <c r="N216" s="8">
        <v>40</v>
      </c>
      <c r="O216" s="8" t="s">
        <v>28</v>
      </c>
      <c r="P216" s="9" t="s">
        <v>153</v>
      </c>
      <c r="Q216" s="8" t="s">
        <v>30</v>
      </c>
      <c r="R216" s="8">
        <f>MONTH(Tabela1[[#This Row],[Data]])</f>
        <v>3</v>
      </c>
    </row>
    <row r="217" spans="1:18" ht="42" hidden="1" x14ac:dyDescent="0.35">
      <c r="A217" s="14">
        <v>46100</v>
      </c>
      <c r="B217" s="8" t="s">
        <v>17</v>
      </c>
      <c r="C217" s="9" t="s">
        <v>273</v>
      </c>
      <c r="D217" s="9" t="s">
        <v>19</v>
      </c>
      <c r="E217" s="9" t="s">
        <v>274</v>
      </c>
      <c r="F217" s="9" t="s">
        <v>54</v>
      </c>
      <c r="G217" s="8" t="s">
        <v>121</v>
      </c>
      <c r="H217" s="9" t="s">
        <v>44</v>
      </c>
      <c r="I217" s="9" t="s">
        <v>154</v>
      </c>
      <c r="J217" s="9" t="s">
        <v>155</v>
      </c>
      <c r="K217" s="9" t="s">
        <v>47</v>
      </c>
      <c r="L217" s="9" t="s">
        <v>41</v>
      </c>
      <c r="M217" s="9" t="s">
        <v>156</v>
      </c>
      <c r="N217" s="8">
        <v>25</v>
      </c>
      <c r="O217" s="8" t="s">
        <v>80</v>
      </c>
      <c r="P217" s="9" t="s">
        <v>157</v>
      </c>
      <c r="Q217" s="8" t="s">
        <v>30</v>
      </c>
      <c r="R217" s="8">
        <f>MONTH(Tabela1[[#This Row],[Data]])</f>
        <v>3</v>
      </c>
    </row>
    <row r="218" spans="1:18" ht="42" hidden="1" x14ac:dyDescent="0.35">
      <c r="A218" s="14">
        <v>46101</v>
      </c>
      <c r="B218" s="8" t="s">
        <v>36</v>
      </c>
      <c r="C218" s="9" t="s">
        <v>273</v>
      </c>
      <c r="D218" s="9" t="s">
        <v>19</v>
      </c>
      <c r="E218" s="9" t="s">
        <v>274</v>
      </c>
      <c r="F218" s="9" t="s">
        <v>54</v>
      </c>
      <c r="G218" s="8" t="s">
        <v>114</v>
      </c>
      <c r="H218" s="9" t="s">
        <v>158</v>
      </c>
      <c r="I218" s="9" t="s">
        <v>159</v>
      </c>
      <c r="J218" s="9" t="s">
        <v>160</v>
      </c>
      <c r="K218" s="9" t="s">
        <v>161</v>
      </c>
      <c r="L218" s="9" t="s">
        <v>41</v>
      </c>
      <c r="M218" s="9" t="s">
        <v>162</v>
      </c>
      <c r="N218" s="8">
        <v>50</v>
      </c>
      <c r="O218" s="8" t="s">
        <v>28</v>
      </c>
      <c r="P218" s="9" t="s">
        <v>163</v>
      </c>
      <c r="Q218" s="8" t="s">
        <v>30</v>
      </c>
      <c r="R218" s="8">
        <f>MONTH(Tabela1[[#This Row],[Data]])</f>
        <v>3</v>
      </c>
    </row>
    <row r="219" spans="1:18" ht="28" hidden="1" x14ac:dyDescent="0.35">
      <c r="A219" s="14">
        <v>46101</v>
      </c>
      <c r="B219" s="8" t="s">
        <v>36</v>
      </c>
      <c r="C219" s="9" t="s">
        <v>273</v>
      </c>
      <c r="D219" s="9" t="s">
        <v>19</v>
      </c>
      <c r="E219" s="9" t="s">
        <v>274</v>
      </c>
      <c r="F219" s="9" t="s">
        <v>54</v>
      </c>
      <c r="G219" s="8" t="s">
        <v>121</v>
      </c>
      <c r="H219" s="9" t="s">
        <v>164</v>
      </c>
      <c r="I219" s="9" t="s">
        <v>165</v>
      </c>
      <c r="J219" s="9" t="s">
        <v>166</v>
      </c>
      <c r="K219" s="9" t="s">
        <v>23</v>
      </c>
      <c r="L219" s="9" t="s">
        <v>26</v>
      </c>
      <c r="M219" s="9" t="s">
        <v>167</v>
      </c>
      <c r="N219" s="8">
        <v>20</v>
      </c>
      <c r="O219" s="8" t="s">
        <v>80</v>
      </c>
      <c r="P219" s="9" t="s">
        <v>168</v>
      </c>
      <c r="Q219" s="8" t="s">
        <v>30</v>
      </c>
      <c r="R219" s="8">
        <f>MONTH(Tabela1[[#This Row],[Data]])</f>
        <v>3</v>
      </c>
    </row>
    <row r="220" spans="1:18" ht="42" hidden="1" x14ac:dyDescent="0.35">
      <c r="A220" s="14">
        <v>46102</v>
      </c>
      <c r="B220" s="8" t="s">
        <v>50</v>
      </c>
      <c r="C220" s="9" t="s">
        <v>280</v>
      </c>
      <c r="D220" s="9" t="s">
        <v>52</v>
      </c>
      <c r="E220" s="9" t="s">
        <v>281</v>
      </c>
      <c r="F220" s="9" t="s">
        <v>60</v>
      </c>
      <c r="G220" s="8" t="s">
        <v>61</v>
      </c>
      <c r="H220" s="9" t="s">
        <v>62</v>
      </c>
      <c r="I220" s="9" t="s">
        <v>63</v>
      </c>
      <c r="J220" s="9" t="s">
        <v>64</v>
      </c>
      <c r="K220" s="9" t="s">
        <v>65</v>
      </c>
      <c r="L220" s="9" t="s">
        <v>282</v>
      </c>
      <c r="M220" s="9" t="s">
        <v>283</v>
      </c>
      <c r="N220" s="8">
        <v>70</v>
      </c>
      <c r="O220" s="8" t="s">
        <v>28</v>
      </c>
      <c r="P220" s="9" t="s">
        <v>68</v>
      </c>
      <c r="Q220" s="8" t="s">
        <v>30</v>
      </c>
      <c r="R220" s="8">
        <f>MONTH(Tabela1[[#This Row],[Data]])</f>
        <v>3</v>
      </c>
    </row>
    <row r="221" spans="1:18" ht="42" hidden="1" x14ac:dyDescent="0.35">
      <c r="A221" s="14">
        <v>46102</v>
      </c>
      <c r="B221" s="8" t="s">
        <v>50</v>
      </c>
      <c r="C221" s="9" t="s">
        <v>280</v>
      </c>
      <c r="D221" s="9" t="s">
        <v>52</v>
      </c>
      <c r="E221" s="9" t="s">
        <v>281</v>
      </c>
      <c r="F221" s="9" t="s">
        <v>60</v>
      </c>
      <c r="G221" s="8" t="s">
        <v>61</v>
      </c>
      <c r="H221" s="9" t="s">
        <v>69</v>
      </c>
      <c r="I221" s="9" t="s">
        <v>70</v>
      </c>
      <c r="J221" s="9" t="s">
        <v>71</v>
      </c>
      <c r="K221" s="9" t="s">
        <v>72</v>
      </c>
      <c r="L221" s="9" t="s">
        <v>26</v>
      </c>
      <c r="M221" s="9" t="s">
        <v>73</v>
      </c>
      <c r="N221" s="8">
        <v>80</v>
      </c>
      <c r="O221" s="8" t="s">
        <v>28</v>
      </c>
      <c r="P221" s="9" t="s">
        <v>74</v>
      </c>
      <c r="Q221" s="8" t="s">
        <v>30</v>
      </c>
      <c r="R221" s="8">
        <f>MONTH(Tabela1[[#This Row],[Data]])</f>
        <v>3</v>
      </c>
    </row>
    <row r="222" spans="1:18" ht="42" hidden="1" x14ac:dyDescent="0.35">
      <c r="A222" s="14">
        <v>46102</v>
      </c>
      <c r="B222" s="8" t="s">
        <v>50</v>
      </c>
      <c r="C222" s="9" t="s">
        <v>280</v>
      </c>
      <c r="D222" s="9" t="s">
        <v>52</v>
      </c>
      <c r="E222" s="9" t="s">
        <v>281</v>
      </c>
      <c r="F222" s="9" t="s">
        <v>60</v>
      </c>
      <c r="G222" s="8" t="s">
        <v>61</v>
      </c>
      <c r="H222" s="9" t="s">
        <v>75</v>
      </c>
      <c r="I222" s="9" t="s">
        <v>76</v>
      </c>
      <c r="J222" s="9" t="s">
        <v>77</v>
      </c>
      <c r="K222" s="9" t="s">
        <v>78</v>
      </c>
      <c r="L222" s="9" t="s">
        <v>26</v>
      </c>
      <c r="M222" s="9" t="s">
        <v>79</v>
      </c>
      <c r="N222" s="8">
        <v>35</v>
      </c>
      <c r="O222" s="8" t="s">
        <v>80</v>
      </c>
      <c r="P222" s="9" t="s">
        <v>81</v>
      </c>
      <c r="Q222" s="8" t="s">
        <v>30</v>
      </c>
      <c r="R222" s="8">
        <f>MONTH(Tabela1[[#This Row],[Data]])</f>
        <v>3</v>
      </c>
    </row>
    <row r="223" spans="1:18" ht="42" hidden="1" x14ac:dyDescent="0.35">
      <c r="A223" s="14">
        <v>46104</v>
      </c>
      <c r="B223" s="8" t="s">
        <v>83</v>
      </c>
      <c r="C223" s="9" t="s">
        <v>280</v>
      </c>
      <c r="D223" s="9" t="s">
        <v>84</v>
      </c>
      <c r="E223" s="9" t="s">
        <v>281</v>
      </c>
      <c r="F223" s="9" t="s">
        <v>85</v>
      </c>
      <c r="G223" s="8" t="s">
        <v>86</v>
      </c>
      <c r="H223" s="9" t="s">
        <v>87</v>
      </c>
      <c r="I223" s="9" t="s">
        <v>88</v>
      </c>
      <c r="J223" s="9" t="s">
        <v>89</v>
      </c>
      <c r="K223" s="9" t="s">
        <v>90</v>
      </c>
      <c r="L223" s="9" t="s">
        <v>91</v>
      </c>
      <c r="M223" s="9" t="s">
        <v>285</v>
      </c>
      <c r="N223" s="8">
        <v>150</v>
      </c>
      <c r="O223" s="8" t="s">
        <v>28</v>
      </c>
      <c r="P223" s="9" t="s">
        <v>93</v>
      </c>
      <c r="Q223" s="8" t="s">
        <v>30</v>
      </c>
      <c r="R223" s="8">
        <f>MONTH(Tabela1[[#This Row],[Data]])</f>
        <v>3</v>
      </c>
    </row>
    <row r="224" spans="1:18" ht="28" hidden="1" x14ac:dyDescent="0.35">
      <c r="A224" s="14">
        <v>46104</v>
      </c>
      <c r="B224" s="8" t="s">
        <v>83</v>
      </c>
      <c r="C224" s="9" t="s">
        <v>280</v>
      </c>
      <c r="D224" s="9" t="s">
        <v>84</v>
      </c>
      <c r="E224" s="9" t="s">
        <v>281</v>
      </c>
      <c r="F224" s="9" t="s">
        <v>85</v>
      </c>
      <c r="G224" s="8" t="s">
        <v>86</v>
      </c>
      <c r="H224" s="9" t="s">
        <v>94</v>
      </c>
      <c r="I224" s="9" t="s">
        <v>95</v>
      </c>
      <c r="J224" s="9" t="s">
        <v>96</v>
      </c>
      <c r="K224" s="9" t="s">
        <v>97</v>
      </c>
      <c r="L224" s="9" t="s">
        <v>98</v>
      </c>
      <c r="M224" s="9" t="s">
        <v>99</v>
      </c>
      <c r="N224" s="8">
        <v>60</v>
      </c>
      <c r="O224" s="8" t="s">
        <v>28</v>
      </c>
      <c r="P224" s="9" t="s">
        <v>100</v>
      </c>
      <c r="Q224" s="8" t="s">
        <v>30</v>
      </c>
      <c r="R224" s="8">
        <f>MONTH(Tabela1[[#This Row],[Data]])</f>
        <v>3</v>
      </c>
    </row>
    <row r="225" spans="1:18" ht="56" hidden="1" x14ac:dyDescent="0.35">
      <c r="A225" s="14">
        <v>46104</v>
      </c>
      <c r="B225" s="8" t="s">
        <v>83</v>
      </c>
      <c r="C225" s="9" t="s">
        <v>280</v>
      </c>
      <c r="D225" s="9" t="s">
        <v>84</v>
      </c>
      <c r="E225" s="9" t="s">
        <v>281</v>
      </c>
      <c r="F225" s="9" t="s">
        <v>85</v>
      </c>
      <c r="G225" s="8" t="s">
        <v>86</v>
      </c>
      <c r="H225" s="9" t="s">
        <v>101</v>
      </c>
      <c r="I225" s="9" t="s">
        <v>102</v>
      </c>
      <c r="J225" s="9" t="s">
        <v>103</v>
      </c>
      <c r="K225" s="9" t="s">
        <v>101</v>
      </c>
      <c r="L225" s="9" t="s">
        <v>104</v>
      </c>
      <c r="M225" s="9" t="s">
        <v>105</v>
      </c>
      <c r="N225" s="8">
        <v>60</v>
      </c>
      <c r="O225" s="8" t="s">
        <v>28</v>
      </c>
      <c r="P225" s="9" t="s">
        <v>106</v>
      </c>
      <c r="Q225" s="8" t="s">
        <v>30</v>
      </c>
      <c r="R225" s="8">
        <f>MONTH(Tabela1[[#This Row],[Data]])</f>
        <v>3</v>
      </c>
    </row>
    <row r="226" spans="1:18" ht="28" hidden="1" x14ac:dyDescent="0.35">
      <c r="A226" s="14">
        <v>46104</v>
      </c>
      <c r="B226" s="8" t="s">
        <v>83</v>
      </c>
      <c r="C226" s="9" t="s">
        <v>280</v>
      </c>
      <c r="D226" s="9" t="s">
        <v>84</v>
      </c>
      <c r="E226" s="9" t="s">
        <v>281</v>
      </c>
      <c r="F226" s="9" t="s">
        <v>85</v>
      </c>
      <c r="G226" s="8" t="s">
        <v>86</v>
      </c>
      <c r="H226" s="9" t="s">
        <v>107</v>
      </c>
      <c r="I226" s="9" t="s">
        <v>108</v>
      </c>
      <c r="J226" s="9" t="s">
        <v>109</v>
      </c>
      <c r="K226" s="9" t="s">
        <v>110</v>
      </c>
      <c r="L226" s="9" t="s">
        <v>111</v>
      </c>
      <c r="M226" s="9" t="s">
        <v>112</v>
      </c>
      <c r="N226" s="8">
        <v>90</v>
      </c>
      <c r="O226" s="8" t="s">
        <v>28</v>
      </c>
      <c r="P226" s="9" t="s">
        <v>113</v>
      </c>
      <c r="Q226" s="8" t="s">
        <v>30</v>
      </c>
      <c r="R226" s="8">
        <f>MONTH(Tabela1[[#This Row],[Data]])</f>
        <v>3</v>
      </c>
    </row>
    <row r="227" spans="1:18" ht="28" hidden="1" x14ac:dyDescent="0.35">
      <c r="A227" s="14">
        <v>46104</v>
      </c>
      <c r="B227" s="8" t="s">
        <v>83</v>
      </c>
      <c r="C227" s="9" t="s">
        <v>280</v>
      </c>
      <c r="D227" s="9" t="s">
        <v>84</v>
      </c>
      <c r="E227" s="9" t="s">
        <v>281</v>
      </c>
      <c r="F227" s="9" t="s">
        <v>21</v>
      </c>
      <c r="G227" s="8" t="s">
        <v>114</v>
      </c>
      <c r="H227" s="9" t="s">
        <v>115</v>
      </c>
      <c r="I227" s="9" t="s">
        <v>116</v>
      </c>
      <c r="J227" s="9" t="s">
        <v>117</v>
      </c>
      <c r="K227" s="9" t="s">
        <v>23</v>
      </c>
      <c r="L227" s="9" t="s">
        <v>26</v>
      </c>
      <c r="M227" s="9" t="s">
        <v>118</v>
      </c>
      <c r="N227" s="8">
        <v>20</v>
      </c>
      <c r="O227" s="8" t="s">
        <v>80</v>
      </c>
      <c r="P227" s="9" t="s">
        <v>119</v>
      </c>
      <c r="Q227" s="8" t="s">
        <v>30</v>
      </c>
      <c r="R227" s="8">
        <f>MONTH(Tabela1[[#This Row],[Data]])</f>
        <v>3</v>
      </c>
    </row>
    <row r="228" spans="1:18" ht="42" hidden="1" x14ac:dyDescent="0.35">
      <c r="A228" s="14">
        <v>46105</v>
      </c>
      <c r="B228" s="8" t="s">
        <v>120</v>
      </c>
      <c r="C228" s="9" t="s">
        <v>280</v>
      </c>
      <c r="D228" s="9" t="s">
        <v>19</v>
      </c>
      <c r="E228" s="9" t="s">
        <v>281</v>
      </c>
      <c r="F228" s="9" t="s">
        <v>21</v>
      </c>
      <c r="G228" s="8" t="s">
        <v>121</v>
      </c>
      <c r="H228" s="9" t="s">
        <v>44</v>
      </c>
      <c r="I228" s="9" t="s">
        <v>122</v>
      </c>
      <c r="J228" s="9" t="s">
        <v>123</v>
      </c>
      <c r="K228" s="9" t="s">
        <v>47</v>
      </c>
      <c r="L228" s="9" t="s">
        <v>124</v>
      </c>
      <c r="M228" s="9" t="s">
        <v>125</v>
      </c>
      <c r="N228" s="8">
        <v>30</v>
      </c>
      <c r="O228" s="8" t="s">
        <v>28</v>
      </c>
      <c r="P228" s="9" t="s">
        <v>126</v>
      </c>
      <c r="Q228" s="8" t="s">
        <v>30</v>
      </c>
      <c r="R228" s="8">
        <f>MONTH(Tabela1[[#This Row],[Data]])</f>
        <v>3</v>
      </c>
    </row>
    <row r="229" spans="1:18" ht="42" hidden="1" x14ac:dyDescent="0.35">
      <c r="A229" s="14">
        <v>46105</v>
      </c>
      <c r="B229" s="8" t="s">
        <v>120</v>
      </c>
      <c r="C229" s="9" t="s">
        <v>280</v>
      </c>
      <c r="D229" s="9" t="s">
        <v>19</v>
      </c>
      <c r="E229" s="9" t="s">
        <v>281</v>
      </c>
      <c r="F229" s="9" t="s">
        <v>21</v>
      </c>
      <c r="G229" s="8" t="s">
        <v>114</v>
      </c>
      <c r="H229" s="9" t="s">
        <v>44</v>
      </c>
      <c r="I229" s="9" t="s">
        <v>127</v>
      </c>
      <c r="J229" s="9" t="s">
        <v>128</v>
      </c>
      <c r="K229" s="9" t="s">
        <v>47</v>
      </c>
      <c r="L229" s="9" t="s">
        <v>129</v>
      </c>
      <c r="M229" s="9" t="s">
        <v>286</v>
      </c>
      <c r="N229" s="8">
        <v>30</v>
      </c>
      <c r="O229" s="8" t="s">
        <v>28</v>
      </c>
      <c r="P229" s="9" t="s">
        <v>131</v>
      </c>
      <c r="Q229" s="8" t="s">
        <v>30</v>
      </c>
      <c r="R229" s="8">
        <f>MONTH(Tabela1[[#This Row],[Data]])</f>
        <v>3</v>
      </c>
    </row>
    <row r="230" spans="1:18" ht="28" hidden="1" x14ac:dyDescent="0.35">
      <c r="A230" s="14">
        <v>46105</v>
      </c>
      <c r="B230" s="8" t="s">
        <v>120</v>
      </c>
      <c r="C230" s="9" t="s">
        <v>280</v>
      </c>
      <c r="D230" s="9" t="s">
        <v>19</v>
      </c>
      <c r="E230" s="9" t="s">
        <v>281</v>
      </c>
      <c r="F230" s="9" t="s">
        <v>21</v>
      </c>
      <c r="G230" s="8" t="s">
        <v>121</v>
      </c>
      <c r="H230" s="9" t="s">
        <v>132</v>
      </c>
      <c r="I230" s="9" t="s">
        <v>133</v>
      </c>
      <c r="J230" s="9" t="s">
        <v>134</v>
      </c>
      <c r="K230" s="9" t="s">
        <v>101</v>
      </c>
      <c r="L230" s="9" t="s">
        <v>135</v>
      </c>
      <c r="M230" s="9" t="s">
        <v>136</v>
      </c>
      <c r="N230" s="8">
        <v>20</v>
      </c>
      <c r="O230" s="8" t="s">
        <v>80</v>
      </c>
      <c r="P230" s="9" t="s">
        <v>137</v>
      </c>
      <c r="Q230" s="8" t="s">
        <v>30</v>
      </c>
      <c r="R230" s="8">
        <f>MONTH(Tabela1[[#This Row],[Data]])</f>
        <v>3</v>
      </c>
    </row>
    <row r="231" spans="1:18" ht="28" hidden="1" x14ac:dyDescent="0.35">
      <c r="A231" s="14">
        <v>46106</v>
      </c>
      <c r="B231" s="8" t="s">
        <v>138</v>
      </c>
      <c r="C231" s="9" t="s">
        <v>280</v>
      </c>
      <c r="D231" s="9" t="s">
        <v>19</v>
      </c>
      <c r="E231" s="9" t="s">
        <v>281</v>
      </c>
      <c r="F231" s="9" t="s">
        <v>21</v>
      </c>
      <c r="G231" s="8" t="s">
        <v>114</v>
      </c>
      <c r="H231" s="9" t="s">
        <v>37</v>
      </c>
      <c r="I231" s="9" t="s">
        <v>139</v>
      </c>
      <c r="J231" s="9" t="s">
        <v>140</v>
      </c>
      <c r="K231" s="9" t="s">
        <v>141</v>
      </c>
      <c r="L231" s="9" t="s">
        <v>41</v>
      </c>
      <c r="M231" s="9" t="s">
        <v>142</v>
      </c>
      <c r="N231" s="8">
        <v>35</v>
      </c>
      <c r="O231" s="8" t="s">
        <v>28</v>
      </c>
      <c r="P231" s="9" t="s">
        <v>143</v>
      </c>
      <c r="Q231" s="8" t="s">
        <v>30</v>
      </c>
      <c r="R231" s="8">
        <f>MONTH(Tabela1[[#This Row],[Data]])</f>
        <v>3</v>
      </c>
    </row>
    <row r="232" spans="1:18" ht="42" hidden="1" x14ac:dyDescent="0.35">
      <c r="A232" s="14">
        <v>46106</v>
      </c>
      <c r="B232" s="8" t="s">
        <v>138</v>
      </c>
      <c r="C232" s="9" t="s">
        <v>280</v>
      </c>
      <c r="D232" s="9" t="s">
        <v>19</v>
      </c>
      <c r="E232" s="9" t="s">
        <v>281</v>
      </c>
      <c r="F232" s="9" t="s">
        <v>21</v>
      </c>
      <c r="G232" s="8" t="s">
        <v>114</v>
      </c>
      <c r="H232" s="9" t="s">
        <v>75</v>
      </c>
      <c r="I232" s="9" t="s">
        <v>144</v>
      </c>
      <c r="J232" s="9" t="s">
        <v>145</v>
      </c>
      <c r="K232" s="9" t="s">
        <v>47</v>
      </c>
      <c r="L232" s="9" t="s">
        <v>26</v>
      </c>
      <c r="M232" s="9" t="s">
        <v>146</v>
      </c>
      <c r="N232" s="8">
        <v>30</v>
      </c>
      <c r="O232" s="8" t="s">
        <v>28</v>
      </c>
      <c r="P232" s="9" t="s">
        <v>147</v>
      </c>
      <c r="Q232" s="8" t="s">
        <v>30</v>
      </c>
      <c r="R232" s="8">
        <f>MONTH(Tabela1[[#This Row],[Data]])</f>
        <v>3</v>
      </c>
    </row>
    <row r="233" spans="1:18" ht="42" hidden="1" x14ac:dyDescent="0.35">
      <c r="A233" s="14">
        <v>46107</v>
      </c>
      <c r="B233" s="8" t="s">
        <v>17</v>
      </c>
      <c r="C233" s="9" t="s">
        <v>280</v>
      </c>
      <c r="D233" s="9" t="s">
        <v>19</v>
      </c>
      <c r="E233" s="9" t="s">
        <v>281</v>
      </c>
      <c r="F233" s="9" t="s">
        <v>21</v>
      </c>
      <c r="G233" s="8" t="s">
        <v>121</v>
      </c>
      <c r="H233" s="9" t="s">
        <v>132</v>
      </c>
      <c r="I233" s="9" t="s">
        <v>148</v>
      </c>
      <c r="J233" s="9" t="s">
        <v>149</v>
      </c>
      <c r="K233" s="9" t="s">
        <v>150</v>
      </c>
      <c r="L233" s="9" t="s">
        <v>151</v>
      </c>
      <c r="M233" s="9" t="s">
        <v>152</v>
      </c>
      <c r="N233" s="8">
        <v>40</v>
      </c>
      <c r="O233" s="8" t="s">
        <v>28</v>
      </c>
      <c r="P233" s="9" t="s">
        <v>153</v>
      </c>
      <c r="Q233" s="8" t="s">
        <v>30</v>
      </c>
      <c r="R233" s="8">
        <f>MONTH(Tabela1[[#This Row],[Data]])</f>
        <v>3</v>
      </c>
    </row>
    <row r="234" spans="1:18" ht="42" hidden="1" x14ac:dyDescent="0.35">
      <c r="A234" s="14">
        <v>46107</v>
      </c>
      <c r="B234" s="8" t="s">
        <v>17</v>
      </c>
      <c r="C234" s="9" t="s">
        <v>280</v>
      </c>
      <c r="D234" s="9" t="s">
        <v>19</v>
      </c>
      <c r="E234" s="9" t="s">
        <v>281</v>
      </c>
      <c r="F234" s="9" t="s">
        <v>21</v>
      </c>
      <c r="G234" s="8" t="s">
        <v>121</v>
      </c>
      <c r="H234" s="9" t="s">
        <v>44</v>
      </c>
      <c r="I234" s="9" t="s">
        <v>154</v>
      </c>
      <c r="J234" s="9" t="s">
        <v>155</v>
      </c>
      <c r="K234" s="9" t="s">
        <v>47</v>
      </c>
      <c r="L234" s="9" t="s">
        <v>41</v>
      </c>
      <c r="M234" s="9" t="s">
        <v>156</v>
      </c>
      <c r="N234" s="8">
        <v>25</v>
      </c>
      <c r="O234" s="8" t="s">
        <v>80</v>
      </c>
      <c r="P234" s="9" t="s">
        <v>157</v>
      </c>
      <c r="Q234" s="8" t="s">
        <v>30</v>
      </c>
      <c r="R234" s="8">
        <f>MONTH(Tabela1[[#This Row],[Data]])</f>
        <v>3</v>
      </c>
    </row>
    <row r="235" spans="1:18" ht="42" hidden="1" x14ac:dyDescent="0.35">
      <c r="A235" s="14">
        <v>46108</v>
      </c>
      <c r="B235" s="8" t="s">
        <v>36</v>
      </c>
      <c r="C235" s="9" t="s">
        <v>280</v>
      </c>
      <c r="D235" s="9" t="s">
        <v>19</v>
      </c>
      <c r="E235" s="9" t="s">
        <v>281</v>
      </c>
      <c r="F235" s="9" t="s">
        <v>21</v>
      </c>
      <c r="G235" s="8" t="s">
        <v>114</v>
      </c>
      <c r="H235" s="9" t="s">
        <v>158</v>
      </c>
      <c r="I235" s="9" t="s">
        <v>159</v>
      </c>
      <c r="J235" s="9" t="s">
        <v>160</v>
      </c>
      <c r="K235" s="9" t="s">
        <v>161</v>
      </c>
      <c r="L235" s="9" t="s">
        <v>41</v>
      </c>
      <c r="M235" s="9" t="s">
        <v>162</v>
      </c>
      <c r="N235" s="8">
        <v>50</v>
      </c>
      <c r="O235" s="8" t="s">
        <v>28</v>
      </c>
      <c r="P235" s="9" t="s">
        <v>163</v>
      </c>
      <c r="Q235" s="8" t="s">
        <v>30</v>
      </c>
      <c r="R235" s="8">
        <f>MONTH(Tabela1[[#This Row],[Data]])</f>
        <v>3</v>
      </c>
    </row>
    <row r="236" spans="1:18" ht="28" hidden="1" x14ac:dyDescent="0.35">
      <c r="A236" s="14">
        <v>46108</v>
      </c>
      <c r="B236" s="8" t="s">
        <v>36</v>
      </c>
      <c r="C236" s="9" t="s">
        <v>280</v>
      </c>
      <c r="D236" s="9" t="s">
        <v>19</v>
      </c>
      <c r="E236" s="9" t="s">
        <v>281</v>
      </c>
      <c r="F236" s="9" t="s">
        <v>21</v>
      </c>
      <c r="G236" s="8" t="s">
        <v>121</v>
      </c>
      <c r="H236" s="9" t="s">
        <v>164</v>
      </c>
      <c r="I236" s="9" t="s">
        <v>165</v>
      </c>
      <c r="J236" s="9" t="s">
        <v>166</v>
      </c>
      <c r="K236" s="9" t="s">
        <v>23</v>
      </c>
      <c r="L236" s="9" t="s">
        <v>26</v>
      </c>
      <c r="M236" s="9" t="s">
        <v>167</v>
      </c>
      <c r="N236" s="8">
        <v>20</v>
      </c>
      <c r="O236" s="8" t="s">
        <v>80</v>
      </c>
      <c r="P236" s="9" t="s">
        <v>168</v>
      </c>
      <c r="Q236" s="8" t="s">
        <v>30</v>
      </c>
      <c r="R236" s="8">
        <f>MONTH(Tabela1[[#This Row],[Data]])</f>
        <v>3</v>
      </c>
    </row>
    <row r="237" spans="1:18" ht="42" hidden="1" x14ac:dyDescent="0.35">
      <c r="A237" s="14">
        <v>46109</v>
      </c>
      <c r="B237" s="8" t="s">
        <v>50</v>
      </c>
      <c r="C237" s="9" t="s">
        <v>287</v>
      </c>
      <c r="D237" s="9" t="s">
        <v>52</v>
      </c>
      <c r="E237" s="9" t="s">
        <v>288</v>
      </c>
      <c r="F237" s="9" t="s">
        <v>60</v>
      </c>
      <c r="G237" s="8" t="s">
        <v>61</v>
      </c>
      <c r="H237" s="9" t="s">
        <v>62</v>
      </c>
      <c r="I237" s="9" t="s">
        <v>63</v>
      </c>
      <c r="J237" s="9" t="s">
        <v>64</v>
      </c>
      <c r="K237" s="9" t="s">
        <v>65</v>
      </c>
      <c r="L237" s="9" t="s">
        <v>289</v>
      </c>
      <c r="M237" s="9" t="s">
        <v>290</v>
      </c>
      <c r="N237" s="8">
        <v>70</v>
      </c>
      <c r="O237" s="8" t="s">
        <v>28</v>
      </c>
      <c r="P237" s="9" t="s">
        <v>68</v>
      </c>
      <c r="Q237" s="8" t="s">
        <v>30</v>
      </c>
      <c r="R237" s="8">
        <f>MONTH(Tabela1[[#This Row],[Data]])</f>
        <v>3</v>
      </c>
    </row>
    <row r="238" spans="1:18" ht="42" hidden="1" x14ac:dyDescent="0.35">
      <c r="A238" s="14">
        <v>46109</v>
      </c>
      <c r="B238" s="8" t="s">
        <v>50</v>
      </c>
      <c r="C238" s="9" t="s">
        <v>287</v>
      </c>
      <c r="D238" s="9" t="s">
        <v>52</v>
      </c>
      <c r="E238" s="9" t="s">
        <v>288</v>
      </c>
      <c r="F238" s="9" t="s">
        <v>60</v>
      </c>
      <c r="G238" s="8" t="s">
        <v>61</v>
      </c>
      <c r="H238" s="9" t="s">
        <v>69</v>
      </c>
      <c r="I238" s="9" t="s">
        <v>70</v>
      </c>
      <c r="J238" s="9" t="s">
        <v>71</v>
      </c>
      <c r="K238" s="9" t="s">
        <v>72</v>
      </c>
      <c r="L238" s="9" t="s">
        <v>26</v>
      </c>
      <c r="M238" s="9" t="s">
        <v>73</v>
      </c>
      <c r="N238" s="8">
        <v>80</v>
      </c>
      <c r="O238" s="8" t="s">
        <v>28</v>
      </c>
      <c r="P238" s="9" t="s">
        <v>74</v>
      </c>
      <c r="Q238" s="8" t="s">
        <v>30</v>
      </c>
      <c r="R238" s="8">
        <f>MONTH(Tabela1[[#This Row],[Data]])</f>
        <v>3</v>
      </c>
    </row>
    <row r="239" spans="1:18" ht="42" hidden="1" x14ac:dyDescent="0.35">
      <c r="A239" s="14">
        <v>46109</v>
      </c>
      <c r="B239" s="8" t="s">
        <v>50</v>
      </c>
      <c r="C239" s="9" t="s">
        <v>287</v>
      </c>
      <c r="D239" s="9" t="s">
        <v>52</v>
      </c>
      <c r="E239" s="9" t="s">
        <v>288</v>
      </c>
      <c r="F239" s="9" t="s">
        <v>60</v>
      </c>
      <c r="G239" s="8" t="s">
        <v>61</v>
      </c>
      <c r="H239" s="9" t="s">
        <v>75</v>
      </c>
      <c r="I239" s="9" t="s">
        <v>76</v>
      </c>
      <c r="J239" s="9" t="s">
        <v>77</v>
      </c>
      <c r="K239" s="9" t="s">
        <v>78</v>
      </c>
      <c r="L239" s="9" t="s">
        <v>26</v>
      </c>
      <c r="M239" s="9" t="s">
        <v>79</v>
      </c>
      <c r="N239" s="8">
        <v>35</v>
      </c>
      <c r="O239" s="8" t="s">
        <v>80</v>
      </c>
      <c r="P239" s="9" t="s">
        <v>81</v>
      </c>
      <c r="Q239" s="8" t="s">
        <v>30</v>
      </c>
      <c r="R239" s="8">
        <f>MONTH(Tabela1[[#This Row],[Data]])</f>
        <v>3</v>
      </c>
    </row>
    <row r="240" spans="1:18" ht="56" hidden="1" x14ac:dyDescent="0.35">
      <c r="A240" s="14">
        <v>46111</v>
      </c>
      <c r="B240" s="8" t="s">
        <v>83</v>
      </c>
      <c r="C240" s="9" t="s">
        <v>287</v>
      </c>
      <c r="D240" s="9" t="s">
        <v>84</v>
      </c>
      <c r="E240" s="9" t="s">
        <v>288</v>
      </c>
      <c r="F240" s="9" t="s">
        <v>85</v>
      </c>
      <c r="G240" s="8" t="s">
        <v>86</v>
      </c>
      <c r="H240" s="9" t="s">
        <v>87</v>
      </c>
      <c r="I240" s="9" t="s">
        <v>88</v>
      </c>
      <c r="J240" s="9" t="s">
        <v>89</v>
      </c>
      <c r="K240" s="9" t="s">
        <v>90</v>
      </c>
      <c r="L240" s="9" t="s">
        <v>91</v>
      </c>
      <c r="M240" s="9" t="s">
        <v>292</v>
      </c>
      <c r="N240" s="8">
        <v>150</v>
      </c>
      <c r="O240" s="8" t="s">
        <v>28</v>
      </c>
      <c r="P240" s="9" t="s">
        <v>93</v>
      </c>
      <c r="Q240" s="8" t="s">
        <v>30</v>
      </c>
      <c r="R240" s="8">
        <f>MONTH(Tabela1[[#This Row],[Data]])</f>
        <v>3</v>
      </c>
    </row>
    <row r="241" spans="1:18" ht="28" hidden="1" x14ac:dyDescent="0.35">
      <c r="A241" s="14">
        <v>46111</v>
      </c>
      <c r="B241" s="8" t="s">
        <v>83</v>
      </c>
      <c r="C241" s="9" t="s">
        <v>287</v>
      </c>
      <c r="D241" s="9" t="s">
        <v>84</v>
      </c>
      <c r="E241" s="9" t="s">
        <v>288</v>
      </c>
      <c r="F241" s="9" t="s">
        <v>85</v>
      </c>
      <c r="G241" s="8" t="s">
        <v>86</v>
      </c>
      <c r="H241" s="9" t="s">
        <v>94</v>
      </c>
      <c r="I241" s="9" t="s">
        <v>95</v>
      </c>
      <c r="J241" s="9" t="s">
        <v>96</v>
      </c>
      <c r="K241" s="9" t="s">
        <v>97</v>
      </c>
      <c r="L241" s="9" t="s">
        <v>98</v>
      </c>
      <c r="M241" s="9" t="s">
        <v>99</v>
      </c>
      <c r="N241" s="8">
        <v>60</v>
      </c>
      <c r="O241" s="8" t="s">
        <v>28</v>
      </c>
      <c r="P241" s="9" t="s">
        <v>100</v>
      </c>
      <c r="Q241" s="8" t="s">
        <v>30</v>
      </c>
      <c r="R241" s="8">
        <f>MONTH(Tabela1[[#This Row],[Data]])</f>
        <v>3</v>
      </c>
    </row>
    <row r="242" spans="1:18" ht="56" hidden="1" x14ac:dyDescent="0.35">
      <c r="A242" s="14">
        <v>46111</v>
      </c>
      <c r="B242" s="8" t="s">
        <v>83</v>
      </c>
      <c r="C242" s="9" t="s">
        <v>287</v>
      </c>
      <c r="D242" s="9" t="s">
        <v>84</v>
      </c>
      <c r="E242" s="9" t="s">
        <v>288</v>
      </c>
      <c r="F242" s="9" t="s">
        <v>85</v>
      </c>
      <c r="G242" s="8" t="s">
        <v>86</v>
      </c>
      <c r="H242" s="9" t="s">
        <v>101</v>
      </c>
      <c r="I242" s="9" t="s">
        <v>102</v>
      </c>
      <c r="J242" s="9" t="s">
        <v>103</v>
      </c>
      <c r="K242" s="9" t="s">
        <v>101</v>
      </c>
      <c r="L242" s="9" t="s">
        <v>104</v>
      </c>
      <c r="M242" s="9" t="s">
        <v>105</v>
      </c>
      <c r="N242" s="8">
        <v>60</v>
      </c>
      <c r="O242" s="8" t="s">
        <v>28</v>
      </c>
      <c r="P242" s="9" t="s">
        <v>106</v>
      </c>
      <c r="Q242" s="8" t="s">
        <v>30</v>
      </c>
      <c r="R242" s="8">
        <f>MONTH(Tabela1[[#This Row],[Data]])</f>
        <v>3</v>
      </c>
    </row>
    <row r="243" spans="1:18" ht="28" hidden="1" x14ac:dyDescent="0.35">
      <c r="A243" s="14">
        <v>46111</v>
      </c>
      <c r="B243" s="8" t="s">
        <v>83</v>
      </c>
      <c r="C243" s="9" t="s">
        <v>287</v>
      </c>
      <c r="D243" s="9" t="s">
        <v>84</v>
      </c>
      <c r="E243" s="9" t="s">
        <v>288</v>
      </c>
      <c r="F243" s="9" t="s">
        <v>85</v>
      </c>
      <c r="G243" s="8" t="s">
        <v>86</v>
      </c>
      <c r="H243" s="9" t="s">
        <v>107</v>
      </c>
      <c r="I243" s="9" t="s">
        <v>108</v>
      </c>
      <c r="J243" s="9" t="s">
        <v>109</v>
      </c>
      <c r="K243" s="9" t="s">
        <v>110</v>
      </c>
      <c r="L243" s="9" t="s">
        <v>111</v>
      </c>
      <c r="M243" s="9" t="s">
        <v>112</v>
      </c>
      <c r="N243" s="8">
        <v>90</v>
      </c>
      <c r="O243" s="8" t="s">
        <v>28</v>
      </c>
      <c r="P243" s="9" t="s">
        <v>113</v>
      </c>
      <c r="Q243" s="8" t="s">
        <v>30</v>
      </c>
      <c r="R243" s="8">
        <f>MONTH(Tabela1[[#This Row],[Data]])</f>
        <v>3</v>
      </c>
    </row>
    <row r="244" spans="1:18" ht="28" hidden="1" x14ac:dyDescent="0.35">
      <c r="A244" s="14">
        <v>46111</v>
      </c>
      <c r="B244" s="8" t="s">
        <v>83</v>
      </c>
      <c r="C244" s="9" t="s">
        <v>287</v>
      </c>
      <c r="D244" s="9" t="s">
        <v>84</v>
      </c>
      <c r="E244" s="9" t="s">
        <v>288</v>
      </c>
      <c r="F244" s="9" t="s">
        <v>21</v>
      </c>
      <c r="G244" s="8" t="s">
        <v>114</v>
      </c>
      <c r="H244" s="9" t="s">
        <v>115</v>
      </c>
      <c r="I244" s="9" t="s">
        <v>116</v>
      </c>
      <c r="J244" s="9" t="s">
        <v>117</v>
      </c>
      <c r="K244" s="9" t="s">
        <v>23</v>
      </c>
      <c r="L244" s="9" t="s">
        <v>26</v>
      </c>
      <c r="M244" s="9" t="s">
        <v>118</v>
      </c>
      <c r="N244" s="8">
        <v>20</v>
      </c>
      <c r="O244" s="8" t="s">
        <v>80</v>
      </c>
      <c r="P244" s="9" t="s">
        <v>119</v>
      </c>
      <c r="Q244" s="8" t="s">
        <v>30</v>
      </c>
      <c r="R244" s="8">
        <f>MONTH(Tabela1[[#This Row],[Data]])</f>
        <v>3</v>
      </c>
    </row>
    <row r="245" spans="1:18" ht="42" hidden="1" x14ac:dyDescent="0.35">
      <c r="A245" s="14">
        <v>46112</v>
      </c>
      <c r="B245" s="8" t="s">
        <v>120</v>
      </c>
      <c r="C245" s="9" t="s">
        <v>287</v>
      </c>
      <c r="D245" s="9" t="s">
        <v>19</v>
      </c>
      <c r="E245" s="9" t="s">
        <v>288</v>
      </c>
      <c r="F245" s="9" t="s">
        <v>21</v>
      </c>
      <c r="G245" s="8" t="s">
        <v>121</v>
      </c>
      <c r="H245" s="9" t="s">
        <v>44</v>
      </c>
      <c r="I245" s="9" t="s">
        <v>122</v>
      </c>
      <c r="J245" s="9" t="s">
        <v>123</v>
      </c>
      <c r="K245" s="9" t="s">
        <v>47</v>
      </c>
      <c r="L245" s="9" t="s">
        <v>124</v>
      </c>
      <c r="M245" s="9" t="s">
        <v>125</v>
      </c>
      <c r="N245" s="8">
        <v>30</v>
      </c>
      <c r="O245" s="8" t="s">
        <v>28</v>
      </c>
      <c r="P245" s="9" t="s">
        <v>126</v>
      </c>
      <c r="Q245" s="8" t="s">
        <v>30</v>
      </c>
      <c r="R245" s="8">
        <f>MONTH(Tabela1[[#This Row],[Data]])</f>
        <v>3</v>
      </c>
    </row>
    <row r="246" spans="1:18" ht="42" hidden="1" x14ac:dyDescent="0.35">
      <c r="A246" s="14">
        <v>46112</v>
      </c>
      <c r="B246" s="8" t="s">
        <v>120</v>
      </c>
      <c r="C246" s="9" t="s">
        <v>287</v>
      </c>
      <c r="D246" s="9" t="s">
        <v>19</v>
      </c>
      <c r="E246" s="9" t="s">
        <v>288</v>
      </c>
      <c r="F246" s="9" t="s">
        <v>21</v>
      </c>
      <c r="G246" s="8" t="s">
        <v>114</v>
      </c>
      <c r="H246" s="9" t="s">
        <v>44</v>
      </c>
      <c r="I246" s="9" t="s">
        <v>127</v>
      </c>
      <c r="J246" s="9" t="s">
        <v>128</v>
      </c>
      <c r="K246" s="9" t="s">
        <v>47</v>
      </c>
      <c r="L246" s="9" t="s">
        <v>129</v>
      </c>
      <c r="M246" s="9" t="s">
        <v>293</v>
      </c>
      <c r="N246" s="8">
        <v>30</v>
      </c>
      <c r="O246" s="8" t="s">
        <v>28</v>
      </c>
      <c r="P246" s="9" t="s">
        <v>131</v>
      </c>
      <c r="Q246" s="8" t="s">
        <v>30</v>
      </c>
      <c r="R246" s="8">
        <f>MONTH(Tabela1[[#This Row],[Data]])</f>
        <v>3</v>
      </c>
    </row>
    <row r="247" spans="1:18" ht="28" hidden="1" x14ac:dyDescent="0.35">
      <c r="A247" s="14">
        <v>46112</v>
      </c>
      <c r="B247" s="8" t="s">
        <v>120</v>
      </c>
      <c r="C247" s="9" t="s">
        <v>287</v>
      </c>
      <c r="D247" s="9" t="s">
        <v>19</v>
      </c>
      <c r="E247" s="9" t="s">
        <v>288</v>
      </c>
      <c r="F247" s="9" t="s">
        <v>21</v>
      </c>
      <c r="G247" s="8" t="s">
        <v>121</v>
      </c>
      <c r="H247" s="9" t="s">
        <v>132</v>
      </c>
      <c r="I247" s="9" t="s">
        <v>133</v>
      </c>
      <c r="J247" s="9" t="s">
        <v>134</v>
      </c>
      <c r="K247" s="9" t="s">
        <v>101</v>
      </c>
      <c r="L247" s="9" t="s">
        <v>135</v>
      </c>
      <c r="M247" s="9" t="s">
        <v>136</v>
      </c>
      <c r="N247" s="8">
        <v>20</v>
      </c>
      <c r="O247" s="8" t="s">
        <v>80</v>
      </c>
      <c r="P247" s="9" t="s">
        <v>137</v>
      </c>
      <c r="Q247" s="8" t="s">
        <v>30</v>
      </c>
      <c r="R247" s="8">
        <f>MONTH(Tabela1[[#This Row],[Data]])</f>
        <v>3</v>
      </c>
    </row>
    <row r="248" spans="1:18" hidden="1" x14ac:dyDescent="0.35">
      <c r="A248" s="1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>
        <f>MONTH(Tabela1[[#This Row],[Data]])</f>
        <v>1</v>
      </c>
    </row>
    <row r="249" spans="1:18" hidden="1" x14ac:dyDescent="0.35">
      <c r="A249" s="17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>
        <f>MONTH(Tabela1[[#This Row],[Data]])</f>
        <v>1</v>
      </c>
    </row>
  </sheetData>
  <conditionalFormatting sqref="A2:R247">
    <cfRule type="expression" dxfId="7" priority="1">
      <formula>$Q2="A fazer"</formula>
    </cfRule>
    <cfRule type="expression" dxfId="6" priority="2">
      <formula>$Q2="Fazendo"</formula>
    </cfRule>
    <cfRule type="expression" dxfId="5" priority="3">
      <formula>$Q2="Feito"</formula>
    </cfRule>
  </conditionalFormatting>
  <conditionalFormatting sqref="O2:O247">
    <cfRule type="expression" dxfId="4" priority="4">
      <formula>$O2="Alta"</formula>
    </cfRule>
  </conditionalFormatting>
  <dataValidations count="1">
    <dataValidation type="list" allowBlank="1" showInputMessage="1" showErrorMessage="1" sqref="Q1:Q1048576" xr:uid="{A55FB023-5DD7-4395-8BD2-BF26058876FD}">
      <formula1>"A fazer,Fazendo,Feito"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B651-620F-4980-AF3D-DA6D6654E60D}">
  <dimension ref="A1:R97"/>
  <sheetViews>
    <sheetView workbookViewId="0">
      <selection activeCell="L4" sqref="L4"/>
    </sheetView>
  </sheetViews>
  <sheetFormatPr defaultRowHeight="14.5" x14ac:dyDescent="0.35"/>
  <cols>
    <col min="1" max="1" width="16.90625" style="19" bestFit="1" customWidth="1"/>
    <col min="2" max="2" width="12.26953125" style="19" bestFit="1" customWidth="1"/>
    <col min="3" max="3" width="21.54296875" style="19" bestFit="1" customWidth="1"/>
    <col min="4" max="4" width="31.453125" style="19" bestFit="1" customWidth="1"/>
    <col min="5" max="5" width="23.54296875" style="19" customWidth="1"/>
    <col min="6" max="6" width="17.08984375" style="19" customWidth="1"/>
    <col min="7" max="7" width="11.08984375" style="19" customWidth="1"/>
    <col min="8" max="8" width="19.26953125" style="19" bestFit="1" customWidth="1"/>
    <col min="9" max="9" width="29.453125" style="19" customWidth="1"/>
    <col min="10" max="10" width="45.81640625" style="19" customWidth="1"/>
    <col min="11" max="11" width="37.1796875" style="19" bestFit="1" customWidth="1"/>
    <col min="12" max="12" width="38.36328125" style="19" customWidth="1"/>
    <col min="13" max="13" width="49.36328125" style="19" customWidth="1"/>
    <col min="14" max="14" width="3.81640625" style="19" bestFit="1" customWidth="1"/>
    <col min="15" max="15" width="4.08984375" style="19" bestFit="1" customWidth="1"/>
    <col min="16" max="16" width="29.36328125" style="19" bestFit="1" customWidth="1"/>
    <col min="17" max="17" width="6.6328125" style="19" bestFit="1" customWidth="1"/>
  </cols>
  <sheetData>
    <row r="1" spans="1:18" ht="15" thickBot="1" x14ac:dyDescent="0.4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</row>
    <row r="2" spans="1:18" x14ac:dyDescent="0.35">
      <c r="A2" s="34" t="s">
        <v>0</v>
      </c>
      <c r="B2" s="25"/>
      <c r="C2" s="34" t="s">
        <v>16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</row>
    <row r="3" spans="1:18" x14ac:dyDescent="0.35">
      <c r="A3" s="35"/>
      <c r="B3" s="25"/>
      <c r="C3" s="3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</row>
    <row r="4" spans="1:18" ht="24" thickBot="1" x14ac:dyDescent="0.4">
      <c r="A4" s="27">
        <v>46034</v>
      </c>
      <c r="B4" s="25"/>
      <c r="C4" s="28" t="s">
        <v>30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6"/>
    </row>
    <row r="5" spans="1:18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6"/>
    </row>
    <row r="6" spans="1:18" ht="28.5" customHeight="1" thickBot="1" x14ac:dyDescent="0.4">
      <c r="A6" s="21" t="s">
        <v>0</v>
      </c>
      <c r="B6" s="22" t="s">
        <v>1</v>
      </c>
      <c r="C6" s="22" t="s">
        <v>2</v>
      </c>
      <c r="D6" s="22" t="s">
        <v>3</v>
      </c>
      <c r="E6" s="22" t="s">
        <v>4</v>
      </c>
      <c r="F6" s="22" t="s">
        <v>5</v>
      </c>
      <c r="G6" s="22" t="s">
        <v>6</v>
      </c>
      <c r="H6" s="22" t="s">
        <v>7</v>
      </c>
      <c r="I6" s="22" t="s">
        <v>8</v>
      </c>
      <c r="J6" s="22" t="s">
        <v>9</v>
      </c>
      <c r="K6" s="22" t="s">
        <v>10</v>
      </c>
      <c r="L6" s="22" t="s">
        <v>11</v>
      </c>
      <c r="M6" s="22" t="s">
        <v>12</v>
      </c>
      <c r="N6" s="22" t="s">
        <v>13</v>
      </c>
      <c r="O6" s="22" t="s">
        <v>14</v>
      </c>
      <c r="P6" s="22" t="s">
        <v>15</v>
      </c>
      <c r="Q6" s="22" t="s">
        <v>16</v>
      </c>
      <c r="R6" s="23" t="s">
        <v>385</v>
      </c>
    </row>
    <row r="7" spans="1:18" s="19" customFormat="1" ht="44" thickTop="1" x14ac:dyDescent="0.35">
      <c r="A7" s="32" cm="1">
        <f t="array" ref="A7:Q12">_xlfn._xlws.FILTER('Plano Diário'!A2:Q10002, ('Plano Diário'!A2:A10002 = Filtro!A4) * ((Filtro!C4 = "Todos") * ('Plano Diário'!Q2:Q10002 &lt;&gt; "Feito") + ('Plano Diário'!Q2:Q10002 = Filtro!C4)))</f>
        <v>46034</v>
      </c>
      <c r="B7" s="19" t="str">
        <v>segunda-feira</v>
      </c>
      <c r="C7" s="19" t="str">
        <v>Semana 3 (12/01–17/01)</v>
      </c>
      <c r="D7" s="30" t="str">
        <v>Segunda – Produção &amp; Programação</v>
      </c>
      <c r="E7" s="19" t="str">
        <v>Negociação sem improviso: valor antes do preço</v>
      </c>
      <c r="F7" s="19" t="str">
        <v>Transversal (3 ângulos)</v>
      </c>
      <c r="G7" s="30" t="str">
        <v>Conteúdo</v>
      </c>
      <c r="H7" s="19" t="str">
        <v>YouTube</v>
      </c>
      <c r="I7" s="19" t="str">
        <v>Vídeo longo (8–12 min) – roteiro+gravação+upload rascunho</v>
      </c>
      <c r="J7" s="19" t="str">
        <v>Use GPT/Claude para roteiro; grave em lote; faça uma tomada principal; suba como rascunho no YouTube e programe.</v>
      </c>
      <c r="K7" s="19" t="str">
        <v>YouTube Studio + Filmora</v>
      </c>
      <c r="L7" s="19" t="str">
        <v>CTA na descrição e comentário fixado → phdonassolo.com/trilhas</v>
      </c>
      <c r="M7" s="19" t="str">
        <v>Tema macro: Negociação sem improviso: valor antes do preço. Objetivo: gerar autoridade e cliques para o HUB. Inclua 1 exemplo prático + checklist.</v>
      </c>
      <c r="N7" s="19">
        <v>150</v>
      </c>
      <c r="O7" s="19" t="str">
        <v>Alta</v>
      </c>
      <c r="P7" s="19" t="str">
        <v>Visualizações + cliques em /trilhas</v>
      </c>
      <c r="Q7" s="19" t="str">
        <v>A fazer</v>
      </c>
      <c r="R7" s="8"/>
    </row>
    <row r="8" spans="1:18" s="19" customFormat="1" ht="43.5" x14ac:dyDescent="0.35">
      <c r="A8" s="20">
        <v>46034</v>
      </c>
      <c r="B8" s="19" t="str">
        <v>segunda-feira</v>
      </c>
      <c r="C8" s="19" t="str">
        <v>Semana 3 (12/01–17/01)</v>
      </c>
      <c r="D8" s="30" t="str">
        <v>Segunda – Produção &amp; Programação</v>
      </c>
      <c r="E8" s="19" t="str">
        <v>Negociação sem improviso: valor antes do preço</v>
      </c>
      <c r="F8" s="19" t="str">
        <v>Transversal (3 ângulos)</v>
      </c>
      <c r="G8" s="30" t="str">
        <v>Conteúdo</v>
      </c>
      <c r="H8" s="19" t="str">
        <v>YouTube Shorts/Reels</v>
      </c>
      <c r="I8" s="19" t="str">
        <v>2 cortes (30–60s) do vídeo – editar e agendar</v>
      </c>
      <c r="J8" s="19" t="str">
        <v>Corte 2 trechos (gancho + dica). Legenda curta. Programe 1 para terça e 1 para quinta.</v>
      </c>
      <c r="K8" s="19" t="str">
        <v>YouTube Shorts + IG Reels</v>
      </c>
      <c r="L8" s="19" t="str">
        <v>CTA: /trilhas + curso foco da semana</v>
      </c>
      <c r="M8" s="19" t="str">
        <v>Reaproveitar o vídeo longo. Gancho forte nos 2 primeiros segundos.</v>
      </c>
      <c r="N8" s="19">
        <v>60</v>
      </c>
      <c r="O8" s="19" t="str">
        <v>Alta</v>
      </c>
      <c r="P8" s="19" t="str">
        <v>Retenção e cliques</v>
      </c>
      <c r="Q8" s="19" t="str">
        <v>A fazer</v>
      </c>
      <c r="R8" s="8"/>
    </row>
    <row r="9" spans="1:18" s="19" customFormat="1" ht="43.5" x14ac:dyDescent="0.35">
      <c r="A9" s="20">
        <v>46034</v>
      </c>
      <c r="B9" s="19" t="str">
        <v>segunda-feira</v>
      </c>
      <c r="C9" s="19" t="str">
        <v>Semana 3 (12/01–17/01)</v>
      </c>
      <c r="D9" s="30" t="str">
        <v>Segunda – Produção &amp; Programação</v>
      </c>
      <c r="E9" s="19" t="str">
        <v>Negociação sem improviso: valor antes do preço</v>
      </c>
      <c r="F9" s="19" t="str">
        <v>Transversal (3 ângulos)</v>
      </c>
      <c r="G9" s="30" t="str">
        <v>Conteúdo</v>
      </c>
      <c r="H9" s="19" t="str">
        <v>LinkedIn</v>
      </c>
      <c r="I9" s="19" t="str">
        <v>2 posts texto (ter e sex) – escrever e agendar</v>
      </c>
      <c r="J9" s="19" t="str">
        <v>Modelo: dor → mini-framework → exemplo → CTA. Varie: 1 mais técnico, 1 mais narrativo.</v>
      </c>
      <c r="K9" s="19" t="str">
        <v>LinkedIn</v>
      </c>
      <c r="L9" s="19" t="str">
        <v>CTA: phdonassolo.com/trilhas (botão da trilha/curso foco)</v>
      </c>
      <c r="M9" s="19" t="str">
        <v>Use o tema macro e o ângulo das trilhas no texto. Inclua 1 pergunta no final.</v>
      </c>
      <c r="N9" s="19">
        <v>60</v>
      </c>
      <c r="O9" s="19" t="str">
        <v>Alta</v>
      </c>
      <c r="P9" s="19" t="str">
        <v>Alcance + comentários</v>
      </c>
      <c r="Q9" s="19" t="str">
        <v>A fazer</v>
      </c>
      <c r="R9" s="8"/>
    </row>
    <row r="10" spans="1:18" s="19" customFormat="1" ht="43.5" x14ac:dyDescent="0.35">
      <c r="A10" s="20">
        <v>46034</v>
      </c>
      <c r="B10" s="19" t="str">
        <v>segunda-feira</v>
      </c>
      <c r="C10" s="19" t="str">
        <v>Semana 3 (12/01–17/01)</v>
      </c>
      <c r="D10" s="30" t="str">
        <v>Segunda – Produção &amp; Programação</v>
      </c>
      <c r="E10" s="19" t="str">
        <v>Negociação sem improviso: valor antes do preço</v>
      </c>
      <c r="F10" s="19" t="str">
        <v>Transversal (3 ângulos)</v>
      </c>
      <c r="G10" s="29" t="str">
        <v>Conteúdo</v>
      </c>
      <c r="H10" s="19" t="str">
        <v>LinkedIn/IG/FB</v>
      </c>
      <c r="I10" s="19" t="str">
        <v>1 carrossel (qui) – criar + adaptar para IG/FB e agendar</v>
      </c>
      <c r="J10" s="19" t="str">
        <v>Estrutura 7–9 páginas: gancho, 3 erros, 3 correções, checklist, CTA. Criar no Canva.</v>
      </c>
      <c r="K10" s="19" t="str">
        <v>Canva + LinkedIn + Meta Business Suite</v>
      </c>
      <c r="L10" s="19" t="str">
        <v>CTA: /trilhas + curso foco</v>
      </c>
      <c r="M10" s="19" t="str">
        <v>Carrossel deve ser didático, com frases curtas e exemplo prático.</v>
      </c>
      <c r="N10" s="19">
        <v>90</v>
      </c>
      <c r="O10" s="19" t="str">
        <v>Alta</v>
      </c>
      <c r="P10" s="19" t="str">
        <v>Salvamentos + cliques</v>
      </c>
      <c r="Q10" s="19" t="str">
        <v>A fazer</v>
      </c>
      <c r="R10" s="8"/>
    </row>
    <row r="11" spans="1:18" s="19" customFormat="1" ht="31" x14ac:dyDescent="0.35">
      <c r="A11" s="20">
        <v>46034</v>
      </c>
      <c r="B11" s="19" t="str">
        <v>segunda-feira</v>
      </c>
      <c r="C11" s="19" t="str">
        <v>Semana 3 (12/01–17/01)</v>
      </c>
      <c r="D11" s="30" t="str">
        <v>Segunda – Produção &amp; Programação</v>
      </c>
      <c r="E11" s="19" t="str">
        <v>Linktree ver Instagram Cacau Corazza</v>
      </c>
      <c r="F11" s="19" t="str">
        <v>Gestão Comercial</v>
      </c>
      <c r="G11" s="29" t="str">
        <v>Setup</v>
      </c>
      <c r="H11" s="19" t="str">
        <v>Métricas</v>
      </c>
      <c r="I11" s="19" t="str">
        <v>Criar o linktree para o site, LinkedIn, alguns cursos</v>
      </c>
      <c r="J11" s="19" t="str">
        <v>Criar o linktree para o site, LinkedIn, alguns cursos</v>
      </c>
      <c r="K11" s="19" t="str">
        <v>Instagram</v>
      </c>
      <c r="L11" s="19" t="str">
        <v>CTA conheça</v>
      </c>
      <c r="M11" s="19" t="str">
        <v>Linktree</v>
      </c>
      <c r="N11" s="19">
        <v>30</v>
      </c>
      <c r="O11" s="19" t="str">
        <v>Alta</v>
      </c>
      <c r="P11" s="19" t="str">
        <v>Cliques no botão</v>
      </c>
      <c r="Q11" s="19" t="str">
        <v>A fazer</v>
      </c>
      <c r="R11" s="8"/>
    </row>
    <row r="12" spans="1:18" ht="31" x14ac:dyDescent="0.35">
      <c r="A12" s="14">
        <v>46034</v>
      </c>
      <c r="B12" s="8" t="str">
        <v>segunda-feira</v>
      </c>
      <c r="C12" s="9" t="str">
        <v>Semana 3 (12/01–17/01)</v>
      </c>
      <c r="D12" s="24" t="str">
        <v>Segunda – Produção &amp; Programação</v>
      </c>
      <c r="E12" s="9" t="str">
        <v>Negociação sem improviso: valor antes do preço</v>
      </c>
      <c r="F12" s="19" t="str">
        <v>Gestão Comercial</v>
      </c>
      <c r="G12" s="29" t="str">
        <v>Growth</v>
      </c>
      <c r="H12" s="19" t="str">
        <v>Cupons/HUB</v>
      </c>
      <c r="I12" s="19" t="str">
        <v>Ativar cupom de CAMPANHA (7 dias) e atualizar links /go/*</v>
      </c>
      <c r="J12" s="19" t="str">
        <v>Crie cupom campanha na Udemy (7 dias) para o(s) curso(s) foco. Atualize targets no Redirection.</v>
      </c>
      <c r="K12" s="19" t="str">
        <v>Udemy Instructor + WordPress/Redirection</v>
      </c>
      <c r="L12" s="19" t="str">
        <v>CTA em todos os conteúdos → /trilhas</v>
      </c>
      <c r="M12" s="19" t="str">
        <v>Campanha ativa esta semana. Garanta que todos os CTAs usem cupom correto via /go/.</v>
      </c>
      <c r="N12" s="19">
        <v>35</v>
      </c>
      <c r="O12" s="8" t="str">
        <v>Alta</v>
      </c>
      <c r="P12" s="19" t="str">
        <v>Matrículas por cupom</v>
      </c>
      <c r="Q12" s="8" t="str">
        <v>A fazer</v>
      </c>
      <c r="R12" s="8"/>
    </row>
    <row r="13" spans="1:18" ht="15.5" x14ac:dyDescent="0.35">
      <c r="A13" s="14"/>
      <c r="B13" s="8"/>
      <c r="C13" s="9"/>
      <c r="D13" s="24"/>
      <c r="E13" s="9"/>
      <c r="G13" s="29"/>
      <c r="O13" s="8"/>
      <c r="Q13" s="8"/>
      <c r="R13" s="8"/>
    </row>
    <row r="14" spans="1:18" ht="15.5" x14ac:dyDescent="0.35">
      <c r="A14" s="14"/>
      <c r="B14" s="8"/>
      <c r="C14" s="9"/>
      <c r="D14" s="24"/>
      <c r="E14" s="9"/>
      <c r="G14" s="29"/>
      <c r="J14" s="9"/>
      <c r="O14" s="8"/>
      <c r="Q14" s="8"/>
      <c r="R14" s="8"/>
    </row>
    <row r="15" spans="1:18" ht="16.5" x14ac:dyDescent="0.35">
      <c r="A15" s="14"/>
      <c r="B15" s="8"/>
      <c r="C15" s="9"/>
      <c r="D15" s="33"/>
      <c r="E15" s="9"/>
      <c r="F15" s="9"/>
      <c r="G15" s="31"/>
      <c r="H15" s="9"/>
      <c r="I15" s="9"/>
      <c r="J15" s="9"/>
      <c r="K15" s="9"/>
      <c r="L15" s="9"/>
      <c r="M15" s="9"/>
      <c r="N15" s="8"/>
      <c r="O15" s="8"/>
      <c r="P15" s="9"/>
      <c r="Q15" s="8"/>
      <c r="R15" s="8"/>
    </row>
    <row r="16" spans="1:18" ht="15.5" x14ac:dyDescent="0.35">
      <c r="A16" s="14"/>
      <c r="B16" s="8"/>
      <c r="C16" s="9"/>
      <c r="D16" s="24"/>
      <c r="E16" s="9"/>
      <c r="G16" s="29"/>
      <c r="O16" s="8"/>
      <c r="Q16" s="8"/>
      <c r="R16" s="8"/>
    </row>
    <row r="17" spans="1:18" ht="15.5" x14ac:dyDescent="0.35">
      <c r="A17" s="14"/>
      <c r="B17" s="8"/>
      <c r="C17" s="9"/>
      <c r="D17" s="24"/>
      <c r="E17" s="9"/>
      <c r="G17" s="29"/>
      <c r="O17" s="8"/>
      <c r="Q17" s="8"/>
      <c r="R17" s="8"/>
    </row>
    <row r="18" spans="1:18" ht="15.5" x14ac:dyDescent="0.35">
      <c r="A18" s="14"/>
      <c r="B18" s="8"/>
      <c r="C18" s="9"/>
      <c r="D18" s="24"/>
      <c r="E18" s="9"/>
      <c r="G18" s="29"/>
      <c r="J18" s="9"/>
      <c r="O18" s="8"/>
      <c r="Q18" s="8"/>
      <c r="R18" s="8"/>
    </row>
    <row r="19" spans="1:18" ht="16.5" x14ac:dyDescent="0.35">
      <c r="A19" s="14"/>
      <c r="B19" s="8"/>
      <c r="C19" s="9"/>
      <c r="D19" s="33"/>
      <c r="E19" s="9"/>
      <c r="F19" s="9"/>
      <c r="G19" s="31"/>
      <c r="H19" s="9"/>
      <c r="I19" s="9"/>
      <c r="J19" s="9"/>
      <c r="K19" s="9"/>
      <c r="L19" s="9"/>
      <c r="M19" s="9"/>
      <c r="N19" s="8"/>
      <c r="O19" s="8"/>
      <c r="P19" s="9"/>
      <c r="Q19" s="8"/>
      <c r="R19" s="8"/>
    </row>
    <row r="20" spans="1:18" ht="15.5" x14ac:dyDescent="0.35">
      <c r="A20" s="14"/>
      <c r="B20" s="8"/>
      <c r="C20" s="9"/>
      <c r="D20" s="24"/>
      <c r="E20" s="9"/>
      <c r="G20" s="29"/>
      <c r="O20" s="8"/>
      <c r="Q20" s="8"/>
      <c r="R20" s="8"/>
    </row>
    <row r="21" spans="1:18" ht="15.5" x14ac:dyDescent="0.35">
      <c r="A21" s="14"/>
      <c r="B21" s="8"/>
      <c r="C21" s="9"/>
      <c r="D21" s="24"/>
      <c r="E21" s="9"/>
      <c r="G21" s="29"/>
      <c r="O21" s="8"/>
      <c r="Q21" s="8"/>
      <c r="R21" s="8"/>
    </row>
    <row r="22" spans="1:18" ht="15.5" x14ac:dyDescent="0.35">
      <c r="A22" s="14"/>
      <c r="B22" s="8"/>
      <c r="C22" s="9"/>
      <c r="D22" s="24"/>
      <c r="E22" s="9"/>
      <c r="G22" s="29"/>
      <c r="J22" s="9"/>
      <c r="O22" s="8"/>
      <c r="Q22" s="8"/>
      <c r="R22" s="8"/>
    </row>
    <row r="23" spans="1:18" ht="16.5" x14ac:dyDescent="0.35">
      <c r="A23" s="14"/>
      <c r="B23" s="8"/>
      <c r="C23" s="9"/>
      <c r="D23" s="33"/>
      <c r="E23" s="9"/>
      <c r="F23" s="9"/>
      <c r="G23" s="31"/>
      <c r="H23" s="9"/>
      <c r="I23" s="9"/>
      <c r="J23" s="9"/>
      <c r="K23" s="9"/>
      <c r="L23" s="9"/>
      <c r="M23" s="9"/>
      <c r="N23" s="8"/>
      <c r="O23" s="8"/>
      <c r="P23" s="9"/>
      <c r="Q23" s="8"/>
      <c r="R23" s="8"/>
    </row>
    <row r="24" spans="1:18" ht="15.5" x14ac:dyDescent="0.35">
      <c r="A24" s="14"/>
      <c r="B24" s="8"/>
      <c r="C24" s="9"/>
      <c r="D24" s="24"/>
      <c r="E24" s="9"/>
      <c r="G24" s="29"/>
      <c r="O24" s="8"/>
      <c r="Q24" s="8"/>
      <c r="R24" s="8"/>
    </row>
    <row r="25" spans="1:18" ht="15.5" x14ac:dyDescent="0.35">
      <c r="A25" s="14"/>
      <c r="B25" s="8"/>
      <c r="C25" s="9"/>
      <c r="D25" s="24"/>
      <c r="E25" s="9"/>
      <c r="G25" s="29"/>
      <c r="O25" s="8"/>
      <c r="Q25" s="8"/>
      <c r="R25" s="8"/>
    </row>
    <row r="26" spans="1:18" ht="15.5" x14ac:dyDescent="0.35">
      <c r="A26" s="14"/>
      <c r="B26" s="8"/>
      <c r="C26" s="9"/>
      <c r="D26" s="24"/>
      <c r="E26" s="9"/>
      <c r="G26" s="29"/>
      <c r="J26" s="9"/>
      <c r="O26" s="8"/>
      <c r="Q26" s="8"/>
      <c r="R26" s="8"/>
    </row>
    <row r="27" spans="1:18" ht="16.5" x14ac:dyDescent="0.35">
      <c r="A27" s="14"/>
      <c r="B27" s="8"/>
      <c r="C27" s="9"/>
      <c r="D27" s="33"/>
      <c r="E27" s="9"/>
      <c r="F27" s="9"/>
      <c r="G27" s="31"/>
      <c r="H27" s="9"/>
      <c r="I27" s="9"/>
      <c r="J27" s="9"/>
      <c r="K27" s="9"/>
      <c r="L27" s="9"/>
      <c r="M27" s="9"/>
      <c r="N27" s="8"/>
      <c r="O27" s="8"/>
      <c r="P27" s="9"/>
      <c r="Q27" s="8"/>
      <c r="R27" s="8"/>
    </row>
    <row r="28" spans="1:18" ht="15.5" x14ac:dyDescent="0.35">
      <c r="A28" s="14"/>
      <c r="B28" s="8"/>
      <c r="C28" s="9"/>
      <c r="D28" s="24"/>
      <c r="E28" s="9"/>
      <c r="G28" s="29"/>
      <c r="O28" s="8"/>
      <c r="Q28" s="8"/>
      <c r="R28" s="8"/>
    </row>
    <row r="29" spans="1:18" ht="15.5" x14ac:dyDescent="0.35">
      <c r="A29" s="14"/>
      <c r="B29" s="8"/>
      <c r="C29" s="9"/>
      <c r="D29" s="24"/>
      <c r="E29" s="9"/>
      <c r="G29" s="29"/>
      <c r="O29" s="8"/>
      <c r="Q29" s="8"/>
      <c r="R29" s="8"/>
    </row>
    <row r="30" spans="1:18" ht="15.5" x14ac:dyDescent="0.35">
      <c r="A30" s="14"/>
      <c r="B30" s="8"/>
      <c r="C30" s="9"/>
      <c r="D30" s="24"/>
      <c r="E30" s="9"/>
      <c r="J30" s="9"/>
      <c r="O30" s="8"/>
      <c r="Q30" s="8"/>
      <c r="R30" s="8"/>
    </row>
    <row r="31" spans="1:18" ht="16.5" x14ac:dyDescent="0.35">
      <c r="A31" s="14"/>
      <c r="B31" s="8"/>
      <c r="C31" s="9"/>
      <c r="D31" s="33"/>
      <c r="E31" s="9"/>
      <c r="F31" s="9"/>
      <c r="G31" s="8"/>
      <c r="H31" s="9"/>
      <c r="I31" s="9"/>
      <c r="J31" s="9"/>
      <c r="K31" s="9"/>
      <c r="L31" s="9"/>
      <c r="M31" s="9"/>
      <c r="N31" s="8"/>
      <c r="O31" s="8"/>
      <c r="P31" s="9"/>
      <c r="Q31" s="8"/>
      <c r="R31" s="8"/>
    </row>
    <row r="32" spans="1:18" x14ac:dyDescent="0.35">
      <c r="A32" s="14"/>
      <c r="B32" s="8"/>
      <c r="C32" s="9"/>
      <c r="E32" s="9"/>
      <c r="O32" s="8"/>
      <c r="Q32" s="8"/>
      <c r="R32" s="8"/>
    </row>
    <row r="33" spans="1:18" x14ac:dyDescent="0.35">
      <c r="A33" s="14"/>
      <c r="B33" s="8"/>
      <c r="C33" s="9"/>
      <c r="E33" s="9"/>
      <c r="O33" s="8"/>
      <c r="Q33" s="8"/>
      <c r="R33" s="8"/>
    </row>
    <row r="34" spans="1:18" x14ac:dyDescent="0.35">
      <c r="A34" s="14"/>
      <c r="B34" s="8"/>
      <c r="C34" s="9"/>
      <c r="E34" s="9"/>
      <c r="J34" s="9"/>
      <c r="O34" s="8"/>
      <c r="Q34" s="8"/>
      <c r="R34" s="8"/>
    </row>
    <row r="35" spans="1:18" x14ac:dyDescent="0.35">
      <c r="A35" s="14"/>
      <c r="B35" s="8"/>
      <c r="C35" s="9"/>
      <c r="D35" s="9"/>
      <c r="E35" s="9"/>
      <c r="F35" s="9"/>
      <c r="G35" s="8"/>
      <c r="H35" s="9"/>
      <c r="I35" s="9"/>
      <c r="J35" s="9"/>
      <c r="K35" s="9"/>
      <c r="L35" s="9"/>
      <c r="M35" s="9"/>
      <c r="N35" s="8"/>
      <c r="O35" s="8"/>
      <c r="P35" s="9"/>
      <c r="Q35" s="8"/>
      <c r="R35" s="8"/>
    </row>
    <row r="36" spans="1:18" x14ac:dyDescent="0.35">
      <c r="A36" s="14"/>
      <c r="B36" s="8"/>
      <c r="C36" s="9"/>
      <c r="E36" s="9"/>
      <c r="O36" s="8"/>
      <c r="Q36" s="8"/>
      <c r="R36" s="8"/>
    </row>
    <row r="37" spans="1:18" x14ac:dyDescent="0.35">
      <c r="A37" s="14"/>
      <c r="B37" s="8"/>
      <c r="C37" s="9"/>
      <c r="E37" s="9"/>
      <c r="O37" s="8"/>
      <c r="Q37" s="8"/>
      <c r="R37" s="8"/>
    </row>
    <row r="38" spans="1:18" x14ac:dyDescent="0.35">
      <c r="A38" s="14"/>
      <c r="B38" s="8"/>
      <c r="C38" s="9"/>
      <c r="E38" s="9"/>
      <c r="J38" s="9"/>
      <c r="O38" s="8"/>
      <c r="Q38" s="8"/>
      <c r="R38" s="8"/>
    </row>
    <row r="39" spans="1:18" x14ac:dyDescent="0.35">
      <c r="A39" s="14"/>
      <c r="B39" s="8"/>
      <c r="C39" s="9"/>
      <c r="D39" s="9"/>
      <c r="E39" s="9"/>
      <c r="F39" s="9"/>
      <c r="G39" s="8"/>
      <c r="H39" s="9"/>
      <c r="I39" s="9"/>
      <c r="J39" s="9"/>
      <c r="K39" s="9"/>
      <c r="L39" s="9"/>
      <c r="M39" s="9"/>
      <c r="N39" s="8"/>
      <c r="O39" s="8"/>
      <c r="P39" s="9"/>
      <c r="Q39" s="8"/>
      <c r="R39" s="8"/>
    </row>
    <row r="40" spans="1:18" x14ac:dyDescent="0.35">
      <c r="A40" s="14"/>
      <c r="B40" s="8"/>
      <c r="C40" s="9"/>
      <c r="E40" s="9"/>
      <c r="O40" s="8"/>
      <c r="Q40" s="8"/>
      <c r="R40" s="8"/>
    </row>
    <row r="41" spans="1:18" x14ac:dyDescent="0.35">
      <c r="A41" s="14"/>
      <c r="B41" s="8"/>
      <c r="C41" s="9"/>
      <c r="E41" s="9"/>
      <c r="O41" s="8"/>
      <c r="Q41" s="8"/>
      <c r="R41" s="8"/>
    </row>
    <row r="42" spans="1:18" x14ac:dyDescent="0.35">
      <c r="A42" s="14"/>
      <c r="B42" s="8"/>
      <c r="C42" s="9"/>
      <c r="E42" s="9"/>
      <c r="J42" s="9"/>
      <c r="O42" s="8"/>
      <c r="Q42" s="8"/>
      <c r="R42" s="8"/>
    </row>
    <row r="43" spans="1:18" x14ac:dyDescent="0.35">
      <c r="A43" s="14"/>
      <c r="B43" s="8"/>
      <c r="C43" s="9"/>
      <c r="D43" s="9"/>
      <c r="E43" s="9"/>
      <c r="F43" s="9"/>
      <c r="G43" s="8"/>
      <c r="H43" s="9"/>
      <c r="I43" s="9"/>
      <c r="J43" s="9"/>
      <c r="K43" s="9"/>
      <c r="L43" s="9"/>
      <c r="M43" s="9"/>
      <c r="N43" s="8"/>
      <c r="O43" s="8"/>
      <c r="P43" s="9"/>
      <c r="Q43" s="8"/>
      <c r="R43" s="8"/>
    </row>
    <row r="44" spans="1:18" x14ac:dyDescent="0.35">
      <c r="A44" s="14"/>
      <c r="B44" s="8"/>
      <c r="C44" s="9"/>
      <c r="E44" s="9"/>
      <c r="O44" s="8"/>
      <c r="Q44" s="8"/>
      <c r="R44" s="8"/>
    </row>
    <row r="45" spans="1:18" x14ac:dyDescent="0.35">
      <c r="A45" s="14"/>
      <c r="B45" s="8"/>
      <c r="C45" s="9"/>
      <c r="E45" s="9"/>
      <c r="O45" s="8"/>
      <c r="Q45" s="8"/>
      <c r="R45" s="8"/>
    </row>
    <row r="46" spans="1:18" x14ac:dyDescent="0.35">
      <c r="A46" s="14"/>
      <c r="B46" s="8"/>
      <c r="C46" s="9"/>
      <c r="E46" s="9"/>
      <c r="J46" s="9"/>
      <c r="O46" s="8"/>
      <c r="Q46" s="8"/>
      <c r="R46" s="8"/>
    </row>
    <row r="47" spans="1:18" x14ac:dyDescent="0.35">
      <c r="A47" s="14"/>
      <c r="B47" s="8"/>
      <c r="C47" s="9"/>
      <c r="D47" s="9"/>
      <c r="E47" s="9"/>
      <c r="F47" s="9"/>
      <c r="G47" s="8"/>
      <c r="H47" s="9"/>
      <c r="I47" s="9"/>
      <c r="J47" s="9"/>
      <c r="K47" s="9"/>
      <c r="L47" s="9"/>
      <c r="M47" s="9"/>
      <c r="N47" s="8"/>
      <c r="O47" s="8"/>
      <c r="P47" s="9"/>
      <c r="Q47" s="8"/>
      <c r="R47" s="8"/>
    </row>
    <row r="48" spans="1:18" x14ac:dyDescent="0.35">
      <c r="A48" s="14"/>
      <c r="B48" s="8"/>
      <c r="C48" s="9"/>
      <c r="E48" s="9"/>
      <c r="O48" s="8"/>
      <c r="Q48" s="8"/>
      <c r="R48" s="8"/>
    </row>
    <row r="49" spans="1:18" x14ac:dyDescent="0.35">
      <c r="A49" s="14"/>
      <c r="B49" s="8"/>
      <c r="C49" s="9"/>
      <c r="E49" s="9"/>
      <c r="O49" s="8"/>
      <c r="Q49" s="8"/>
      <c r="R49" s="8"/>
    </row>
    <row r="50" spans="1:18" x14ac:dyDescent="0.35">
      <c r="A50" s="14"/>
      <c r="B50" s="8"/>
      <c r="C50" s="9"/>
      <c r="E50" s="9"/>
      <c r="J50" s="9"/>
      <c r="O50" s="8"/>
      <c r="Q50" s="8"/>
      <c r="R50" s="8"/>
    </row>
    <row r="51" spans="1:18" x14ac:dyDescent="0.35">
      <c r="A51" s="14"/>
      <c r="B51" s="8"/>
      <c r="C51" s="9"/>
      <c r="D51" s="9"/>
      <c r="E51" s="9"/>
      <c r="F51" s="9"/>
      <c r="G51" s="8"/>
      <c r="H51" s="9"/>
      <c r="I51" s="9"/>
      <c r="J51" s="9"/>
      <c r="K51" s="9"/>
      <c r="L51" s="9"/>
      <c r="M51" s="9"/>
      <c r="N51" s="8"/>
      <c r="O51" s="8"/>
      <c r="P51" s="9"/>
      <c r="Q51" s="8"/>
      <c r="R51" s="8"/>
    </row>
    <row r="52" spans="1:18" x14ac:dyDescent="0.35">
      <c r="A52" s="14"/>
      <c r="B52" s="8"/>
      <c r="C52" s="9"/>
      <c r="E52" s="9"/>
      <c r="O52" s="8"/>
      <c r="Q52" s="8"/>
      <c r="R52" s="8"/>
    </row>
    <row r="53" spans="1:18" x14ac:dyDescent="0.35">
      <c r="A53" s="14"/>
      <c r="B53" s="8"/>
      <c r="C53" s="9"/>
      <c r="E53" s="9"/>
      <c r="O53" s="8"/>
      <c r="Q53" s="8"/>
      <c r="R53" s="8"/>
    </row>
    <row r="54" spans="1:18" x14ac:dyDescent="0.35">
      <c r="A54" s="14"/>
      <c r="B54" s="8"/>
      <c r="C54" s="9"/>
      <c r="E54" s="9"/>
      <c r="J54" s="9"/>
      <c r="O54" s="8"/>
      <c r="Q54" s="8"/>
      <c r="R54" s="8"/>
    </row>
    <row r="55" spans="1:18" x14ac:dyDescent="0.35">
      <c r="A55" s="14"/>
      <c r="B55" s="8"/>
      <c r="C55" s="9"/>
      <c r="D55" s="9"/>
      <c r="E55" s="9"/>
      <c r="F55" s="9"/>
      <c r="G55" s="8"/>
      <c r="H55" s="9"/>
      <c r="I55" s="9"/>
      <c r="J55" s="9"/>
      <c r="K55" s="9"/>
      <c r="L55" s="9"/>
      <c r="M55" s="9"/>
      <c r="N55" s="8"/>
      <c r="O55" s="8"/>
      <c r="P55" s="9"/>
      <c r="Q55" s="8"/>
      <c r="R55" s="8"/>
    </row>
    <row r="56" spans="1:18" x14ac:dyDescent="0.35">
      <c r="A56" s="14"/>
      <c r="B56" s="8"/>
      <c r="C56" s="9"/>
      <c r="E56" s="9"/>
      <c r="O56" s="8"/>
      <c r="Q56" s="8"/>
      <c r="R56" s="8"/>
    </row>
    <row r="57" spans="1:18" x14ac:dyDescent="0.35">
      <c r="A57" s="14"/>
      <c r="B57" s="8"/>
      <c r="C57" s="9"/>
      <c r="E57" s="9"/>
      <c r="O57" s="8"/>
      <c r="Q57" s="8"/>
      <c r="R57" s="8"/>
    </row>
    <row r="58" spans="1:18" x14ac:dyDescent="0.35">
      <c r="A58" s="14"/>
      <c r="B58" s="8"/>
      <c r="C58" s="9"/>
      <c r="E58" s="9"/>
      <c r="J58" s="9"/>
      <c r="O58" s="8"/>
      <c r="Q58" s="8"/>
      <c r="R58" s="8"/>
    </row>
    <row r="59" spans="1:18" x14ac:dyDescent="0.35">
      <c r="A59" s="14"/>
      <c r="B59" s="8"/>
      <c r="C59" s="9"/>
      <c r="D59" s="9"/>
      <c r="E59" s="9"/>
      <c r="F59" s="9"/>
      <c r="G59" s="8"/>
      <c r="H59" s="9"/>
      <c r="I59" s="9"/>
      <c r="J59" s="9"/>
      <c r="K59" s="9"/>
      <c r="L59" s="9"/>
      <c r="M59" s="9"/>
      <c r="N59" s="8"/>
      <c r="O59" s="8"/>
      <c r="P59" s="9"/>
      <c r="Q59" s="8"/>
      <c r="R59" s="8"/>
    </row>
    <row r="60" spans="1:18" x14ac:dyDescent="0.35">
      <c r="A60" s="14"/>
      <c r="B60" s="8"/>
      <c r="C60" s="9"/>
      <c r="E60" s="9"/>
      <c r="O60" s="8"/>
      <c r="Q60" s="8"/>
      <c r="R60" s="8"/>
    </row>
    <row r="61" spans="1:18" x14ac:dyDescent="0.35">
      <c r="A61" s="14"/>
      <c r="B61" s="8"/>
      <c r="C61" s="9"/>
      <c r="E61" s="9"/>
      <c r="O61" s="8"/>
      <c r="Q61" s="8"/>
      <c r="R61" s="8"/>
    </row>
    <row r="62" spans="1:18" x14ac:dyDescent="0.35">
      <c r="A62" s="14"/>
      <c r="B62" s="8"/>
      <c r="C62" s="9"/>
      <c r="E62" s="9"/>
      <c r="J62" s="9"/>
      <c r="O62" s="8"/>
      <c r="Q62" s="8"/>
      <c r="R62" s="8"/>
    </row>
    <row r="63" spans="1:18" x14ac:dyDescent="0.35">
      <c r="A63" s="14"/>
      <c r="B63" s="8"/>
      <c r="C63" s="9"/>
      <c r="D63" s="9"/>
      <c r="E63" s="9"/>
      <c r="F63" s="9"/>
      <c r="G63" s="8"/>
      <c r="H63" s="9"/>
      <c r="I63" s="9"/>
      <c r="J63" s="9"/>
      <c r="K63" s="9"/>
      <c r="L63" s="9"/>
      <c r="M63" s="9"/>
      <c r="N63" s="8"/>
      <c r="O63" s="8"/>
      <c r="P63" s="9"/>
      <c r="Q63" s="8"/>
      <c r="R63" s="8"/>
    </row>
    <row r="64" spans="1:18" x14ac:dyDescent="0.35">
      <c r="A64" s="14"/>
      <c r="B64" s="8"/>
      <c r="C64" s="9"/>
      <c r="E64" s="9"/>
      <c r="O64" s="8"/>
      <c r="Q64" s="8"/>
      <c r="R64" s="8"/>
    </row>
    <row r="65" spans="1:18" x14ac:dyDescent="0.35">
      <c r="A65" s="14"/>
      <c r="B65" s="8"/>
      <c r="C65" s="9"/>
      <c r="E65" s="9"/>
      <c r="O65" s="8"/>
      <c r="Q65" s="8"/>
      <c r="R65" s="8"/>
    </row>
    <row r="66" spans="1:18" x14ac:dyDescent="0.35">
      <c r="A66" s="14"/>
      <c r="B66" s="8"/>
      <c r="C66" s="9"/>
      <c r="E66" s="9"/>
      <c r="J66" s="9"/>
      <c r="O66" s="8"/>
      <c r="Q66" s="8"/>
      <c r="R66" s="8"/>
    </row>
    <row r="67" spans="1:18" x14ac:dyDescent="0.35">
      <c r="A67" s="14"/>
      <c r="B67" s="8"/>
      <c r="C67" s="9"/>
      <c r="D67" s="9"/>
      <c r="E67" s="9"/>
      <c r="F67" s="9"/>
      <c r="G67" s="8"/>
      <c r="H67" s="9"/>
      <c r="I67" s="9"/>
      <c r="J67" s="9"/>
      <c r="K67" s="9"/>
      <c r="L67" s="9"/>
      <c r="M67" s="9"/>
      <c r="N67" s="8"/>
      <c r="O67" s="8"/>
      <c r="P67" s="9"/>
      <c r="Q67" s="8"/>
      <c r="R67" s="8"/>
    </row>
    <row r="68" spans="1:18" x14ac:dyDescent="0.35">
      <c r="A68" s="14"/>
      <c r="B68" s="8"/>
      <c r="C68" s="9"/>
      <c r="E68" s="9"/>
      <c r="O68" s="8"/>
      <c r="Q68" s="8"/>
      <c r="R68" s="8"/>
    </row>
    <row r="69" spans="1:18" x14ac:dyDescent="0.35">
      <c r="A69" s="14"/>
      <c r="B69" s="8"/>
      <c r="C69" s="9"/>
      <c r="E69" s="9"/>
      <c r="O69" s="8"/>
      <c r="Q69" s="8"/>
      <c r="R69" s="8"/>
    </row>
    <row r="70" spans="1:18" x14ac:dyDescent="0.35">
      <c r="A70" s="14"/>
      <c r="B70" s="8"/>
      <c r="C70" s="9"/>
      <c r="E70" s="9"/>
      <c r="J70" s="9"/>
      <c r="O70" s="8"/>
      <c r="Q70" s="8"/>
      <c r="R70" s="8"/>
    </row>
    <row r="71" spans="1:18" x14ac:dyDescent="0.35">
      <c r="A71" s="14"/>
      <c r="B71" s="8"/>
      <c r="C71" s="9"/>
      <c r="D71" s="9"/>
      <c r="E71" s="9"/>
      <c r="F71" s="9"/>
      <c r="G71" s="8"/>
      <c r="H71" s="9"/>
      <c r="I71" s="9"/>
      <c r="J71" s="9"/>
      <c r="K71" s="9"/>
      <c r="L71" s="9"/>
      <c r="M71" s="9"/>
      <c r="N71" s="8"/>
      <c r="O71" s="8"/>
      <c r="P71" s="9"/>
      <c r="Q71" s="8"/>
      <c r="R71" s="8"/>
    </row>
    <row r="72" spans="1:18" x14ac:dyDescent="0.35">
      <c r="A72" s="14"/>
      <c r="B72" s="8"/>
      <c r="C72" s="9"/>
      <c r="E72" s="9"/>
      <c r="O72" s="8"/>
      <c r="Q72" s="8"/>
      <c r="R72" s="8"/>
    </row>
    <row r="73" spans="1:18" x14ac:dyDescent="0.35">
      <c r="A73" s="14"/>
      <c r="B73" s="8"/>
      <c r="C73" s="9"/>
      <c r="E73" s="9"/>
      <c r="O73" s="8"/>
      <c r="Q73" s="8"/>
      <c r="R73" s="8"/>
    </row>
    <row r="74" spans="1:18" x14ac:dyDescent="0.35">
      <c r="A74" s="14"/>
      <c r="B74" s="8"/>
      <c r="C74" s="9"/>
      <c r="E74" s="9"/>
      <c r="J74" s="9"/>
      <c r="O74" s="8"/>
      <c r="Q74" s="8"/>
      <c r="R74" s="8"/>
    </row>
    <row r="75" spans="1:18" x14ac:dyDescent="0.35">
      <c r="A75" s="14"/>
      <c r="B75" s="8"/>
      <c r="C75" s="9"/>
      <c r="D75" s="9"/>
      <c r="E75" s="9"/>
      <c r="F75" s="9"/>
      <c r="G75" s="8"/>
      <c r="H75" s="9"/>
      <c r="I75" s="9"/>
      <c r="J75" s="9"/>
      <c r="K75" s="9"/>
      <c r="L75" s="9"/>
      <c r="M75" s="9"/>
      <c r="N75" s="8"/>
      <c r="O75" s="8"/>
      <c r="P75" s="9"/>
      <c r="Q75" s="8"/>
      <c r="R75" s="8"/>
    </row>
    <row r="76" spans="1:18" x14ac:dyDescent="0.35">
      <c r="A76" s="14"/>
      <c r="B76" s="8"/>
      <c r="C76" s="9"/>
      <c r="E76" s="9"/>
      <c r="O76" s="8"/>
      <c r="Q76" s="8"/>
      <c r="R76" s="8"/>
    </row>
    <row r="77" spans="1:18" x14ac:dyDescent="0.35">
      <c r="A77" s="14"/>
      <c r="B77" s="8"/>
      <c r="C77" s="9"/>
      <c r="E77" s="9"/>
      <c r="O77" s="8"/>
      <c r="Q77" s="8"/>
      <c r="R77" s="8"/>
    </row>
    <row r="78" spans="1:18" x14ac:dyDescent="0.35">
      <c r="A78" s="14"/>
      <c r="B78" s="8"/>
      <c r="C78" s="9"/>
      <c r="E78" s="9"/>
      <c r="J78" s="9"/>
      <c r="O78" s="8"/>
      <c r="Q78" s="8"/>
      <c r="R78" s="8"/>
    </row>
    <row r="79" spans="1:18" x14ac:dyDescent="0.35">
      <c r="A79" s="14"/>
      <c r="B79" s="8"/>
      <c r="C79" s="9"/>
      <c r="D79" s="9"/>
      <c r="E79" s="9"/>
      <c r="F79" s="9"/>
      <c r="G79" s="8"/>
      <c r="H79" s="9"/>
      <c r="I79" s="9"/>
      <c r="J79" s="9"/>
      <c r="K79" s="9"/>
      <c r="L79" s="9"/>
      <c r="M79" s="9"/>
      <c r="N79" s="8"/>
      <c r="O79" s="8"/>
      <c r="P79" s="9"/>
      <c r="Q79" s="8"/>
      <c r="R79" s="8"/>
    </row>
    <row r="80" spans="1:18" x14ac:dyDescent="0.35">
      <c r="A80" s="14"/>
      <c r="B80" s="8"/>
      <c r="C80" s="9"/>
      <c r="E80" s="9"/>
      <c r="O80" s="8"/>
      <c r="Q80" s="8"/>
      <c r="R80" s="8"/>
    </row>
    <row r="81" spans="1:18" x14ac:dyDescent="0.35">
      <c r="A81" s="14"/>
      <c r="B81" s="8"/>
      <c r="C81" s="9"/>
      <c r="E81" s="9"/>
      <c r="O81" s="8"/>
      <c r="Q81" s="8"/>
      <c r="R81" s="8"/>
    </row>
    <row r="82" spans="1:18" x14ac:dyDescent="0.35">
      <c r="A82" s="14"/>
      <c r="B82" s="8"/>
      <c r="C82" s="9"/>
      <c r="E82" s="9"/>
      <c r="J82" s="9"/>
      <c r="O82" s="8"/>
      <c r="Q82" s="8"/>
      <c r="R82" s="8"/>
    </row>
    <row r="83" spans="1:18" x14ac:dyDescent="0.35">
      <c r="A83" s="14"/>
      <c r="B83" s="8"/>
      <c r="C83" s="9"/>
      <c r="D83" s="9"/>
      <c r="E83" s="9"/>
      <c r="F83" s="9"/>
      <c r="G83" s="8"/>
      <c r="H83" s="9"/>
      <c r="I83" s="9"/>
      <c r="J83" s="9"/>
      <c r="K83" s="9"/>
      <c r="L83" s="9"/>
      <c r="M83" s="9"/>
      <c r="N83" s="8"/>
      <c r="O83" s="8"/>
      <c r="P83" s="9"/>
      <c r="Q83" s="8"/>
      <c r="R83" s="8"/>
    </row>
    <row r="84" spans="1:18" x14ac:dyDescent="0.35">
      <c r="A84" s="14"/>
      <c r="B84" s="8"/>
      <c r="C84" s="9"/>
      <c r="E84" s="9"/>
      <c r="O84" s="8"/>
      <c r="Q84" s="8"/>
      <c r="R84" s="8"/>
    </row>
    <row r="85" spans="1:18" x14ac:dyDescent="0.35">
      <c r="A85" s="14"/>
      <c r="B85" s="8"/>
      <c r="C85" s="9"/>
      <c r="E85" s="9"/>
      <c r="O85" s="8"/>
      <c r="Q85" s="8"/>
      <c r="R85" s="8"/>
    </row>
    <row r="86" spans="1:18" x14ac:dyDescent="0.35">
      <c r="A86" s="14"/>
      <c r="B86" s="8"/>
      <c r="C86" s="9"/>
      <c r="E86" s="9"/>
      <c r="J86" s="9"/>
      <c r="O86" s="8"/>
      <c r="Q86" s="8"/>
      <c r="R86" s="8"/>
    </row>
    <row r="87" spans="1:18" x14ac:dyDescent="0.35">
      <c r="A87" s="14"/>
      <c r="B87" s="8"/>
      <c r="C87" s="9"/>
      <c r="D87" s="9"/>
      <c r="E87" s="9"/>
      <c r="F87" s="9"/>
      <c r="G87" s="8"/>
      <c r="H87" s="9"/>
      <c r="I87" s="9"/>
      <c r="J87" s="9"/>
      <c r="K87" s="9"/>
      <c r="L87" s="9"/>
      <c r="M87" s="9"/>
      <c r="N87" s="8"/>
      <c r="O87" s="8"/>
      <c r="P87" s="9"/>
      <c r="Q87" s="8"/>
      <c r="R87" s="8"/>
    </row>
    <row r="88" spans="1:18" x14ac:dyDescent="0.35">
      <c r="A88" s="14"/>
      <c r="B88" s="8"/>
      <c r="C88" s="9"/>
      <c r="E88" s="9"/>
      <c r="O88" s="8"/>
      <c r="Q88" s="8"/>
      <c r="R88" s="8"/>
    </row>
    <row r="89" spans="1:18" x14ac:dyDescent="0.35">
      <c r="A89" s="14"/>
      <c r="B89" s="8"/>
      <c r="C89" s="9"/>
      <c r="E89" s="9"/>
      <c r="O89" s="8"/>
      <c r="Q89" s="8"/>
      <c r="R89" s="8"/>
    </row>
    <row r="90" spans="1:18" x14ac:dyDescent="0.35">
      <c r="A90" s="14"/>
      <c r="B90" s="8"/>
      <c r="C90" s="9"/>
      <c r="E90" s="9"/>
      <c r="J90" s="9"/>
      <c r="O90" s="8"/>
      <c r="Q90" s="8"/>
      <c r="R90" s="8"/>
    </row>
    <row r="91" spans="1:18" x14ac:dyDescent="0.35">
      <c r="A91" s="14"/>
      <c r="B91" s="8"/>
      <c r="C91" s="9"/>
      <c r="D91" s="9"/>
      <c r="E91" s="9"/>
      <c r="F91" s="9"/>
      <c r="G91" s="8"/>
      <c r="H91" s="9"/>
      <c r="I91" s="9"/>
      <c r="J91" s="9"/>
      <c r="K91" s="9"/>
      <c r="L91" s="9"/>
      <c r="M91" s="9"/>
      <c r="N91" s="8"/>
      <c r="O91" s="8"/>
      <c r="P91" s="9"/>
      <c r="Q91" s="8"/>
      <c r="R91" s="8"/>
    </row>
    <row r="92" spans="1:18" x14ac:dyDescent="0.35">
      <c r="A92" s="14"/>
      <c r="B92" s="8"/>
      <c r="C92" s="9"/>
      <c r="E92" s="9"/>
      <c r="O92" s="8"/>
      <c r="Q92" s="8"/>
      <c r="R92" s="8"/>
    </row>
    <row r="93" spans="1:18" x14ac:dyDescent="0.35">
      <c r="A93" s="14"/>
      <c r="B93" s="8"/>
      <c r="C93" s="9"/>
      <c r="E93" s="9"/>
      <c r="O93" s="8"/>
      <c r="Q93" s="8"/>
      <c r="R93" s="8"/>
    </row>
    <row r="94" spans="1:18" x14ac:dyDescent="0.35">
      <c r="A94" s="14"/>
      <c r="B94" s="8"/>
      <c r="C94" s="9"/>
      <c r="E94" s="9"/>
      <c r="J94" s="9"/>
      <c r="O94" s="8"/>
      <c r="Q94" s="8"/>
      <c r="R94" s="8"/>
    </row>
    <row r="95" spans="1:18" x14ac:dyDescent="0.35">
      <c r="A95" s="14"/>
      <c r="B95" s="8"/>
      <c r="C95" s="9"/>
      <c r="D95" s="9"/>
      <c r="E95" s="9"/>
      <c r="F95" s="9"/>
      <c r="G95" s="8"/>
      <c r="H95" s="9"/>
      <c r="I95" s="9"/>
      <c r="J95" s="9"/>
      <c r="K95" s="9"/>
      <c r="L95" s="9"/>
      <c r="M95" s="9"/>
      <c r="N95" s="8"/>
      <c r="O95" s="8"/>
      <c r="P95" s="9"/>
      <c r="Q95" s="8"/>
      <c r="R95" s="8"/>
    </row>
    <row r="96" spans="1:18" x14ac:dyDescent="0.35">
      <c r="A96" s="14"/>
      <c r="B96" s="8"/>
      <c r="C96" s="9"/>
      <c r="E96" s="9"/>
      <c r="O96" s="8"/>
      <c r="Q96" s="8"/>
      <c r="R96" s="8"/>
    </row>
    <row r="97" spans="1:18" x14ac:dyDescent="0.35">
      <c r="A97" s="14"/>
      <c r="B97" s="8"/>
      <c r="C97" s="9"/>
      <c r="E97" s="9"/>
      <c r="O97" s="8"/>
      <c r="Q97" s="8"/>
      <c r="R97" s="8"/>
    </row>
  </sheetData>
  <mergeCells count="2">
    <mergeCell ref="A2:A3"/>
    <mergeCell ref="C2:C3"/>
  </mergeCells>
  <conditionalFormatting sqref="A7:R97">
    <cfRule type="expression" dxfId="3" priority="1">
      <formula>$Q7="A fazer"</formula>
    </cfRule>
    <cfRule type="expression" dxfId="2" priority="2">
      <formula>$Q7="Fazendo"</formula>
    </cfRule>
    <cfRule type="expression" dxfId="1" priority="3">
      <formula>$Q7="Feito"</formula>
    </cfRule>
  </conditionalFormatting>
  <conditionalFormatting sqref="O7:O97">
    <cfRule type="expression" dxfId="0" priority="4">
      <formula>$O7="Alta"</formula>
    </cfRule>
  </conditionalFormatting>
  <dataValidations count="1">
    <dataValidation type="list" allowBlank="1" showInputMessage="1" showErrorMessage="1" sqref="Q6" xr:uid="{267AFBD4-9F8E-471C-8D98-AA05A06CCCAA}">
      <formula1>"A fazer,Fazendo,Feito"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opLeftCell="G1" workbookViewId="0"/>
  </sheetViews>
  <sheetFormatPr defaultRowHeight="14.5" x14ac:dyDescent="0.35"/>
  <cols>
    <col min="1" max="1" width="14" customWidth="1"/>
    <col min="2" max="2" width="10" customWidth="1"/>
    <col min="3" max="3" width="45" customWidth="1"/>
    <col min="4" max="4" width="28" customWidth="1"/>
    <col min="5" max="7" width="40" customWidth="1"/>
  </cols>
  <sheetData>
    <row r="1" spans="1:7" ht="29" x14ac:dyDescent="0.35">
      <c r="A1" s="1" t="s">
        <v>294</v>
      </c>
      <c r="B1" s="1" t="s">
        <v>295</v>
      </c>
      <c r="C1" s="1" t="s">
        <v>4</v>
      </c>
      <c r="D1" s="1" t="s">
        <v>296</v>
      </c>
      <c r="E1" s="1" t="s">
        <v>297</v>
      </c>
      <c r="F1" s="1" t="s">
        <v>298</v>
      </c>
      <c r="G1" s="1" t="s">
        <v>299</v>
      </c>
    </row>
    <row r="2" spans="1:7" ht="29" x14ac:dyDescent="0.35">
      <c r="A2" s="2" t="s">
        <v>82</v>
      </c>
      <c r="B2" s="2" t="s">
        <v>300</v>
      </c>
      <c r="C2" s="2" t="s">
        <v>53</v>
      </c>
      <c r="D2" s="2" t="s">
        <v>301</v>
      </c>
      <c r="E2" s="2" t="s">
        <v>302</v>
      </c>
      <c r="F2" s="2" t="s">
        <v>303</v>
      </c>
      <c r="G2" s="2" t="s">
        <v>304</v>
      </c>
    </row>
    <row r="3" spans="1:7" ht="29" x14ac:dyDescent="0.35">
      <c r="A3" s="2" t="s">
        <v>173</v>
      </c>
      <c r="B3" s="2" t="s">
        <v>305</v>
      </c>
      <c r="C3" s="2" t="s">
        <v>170</v>
      </c>
      <c r="D3" s="2" t="s">
        <v>306</v>
      </c>
      <c r="E3" s="2" t="s">
        <v>307</v>
      </c>
      <c r="F3" s="2" t="s">
        <v>308</v>
      </c>
      <c r="G3" s="2" t="s">
        <v>309</v>
      </c>
    </row>
    <row r="4" spans="1:7" ht="29" x14ac:dyDescent="0.35">
      <c r="A4" s="2" t="s">
        <v>199</v>
      </c>
      <c r="B4" s="2" t="s">
        <v>305</v>
      </c>
      <c r="C4" s="2" t="s">
        <v>196</v>
      </c>
      <c r="D4" s="2" t="s">
        <v>310</v>
      </c>
      <c r="E4" s="2" t="s">
        <v>311</v>
      </c>
      <c r="F4" s="2" t="s">
        <v>312</v>
      </c>
      <c r="G4" s="2" t="s">
        <v>313</v>
      </c>
    </row>
    <row r="5" spans="1:7" ht="29" x14ac:dyDescent="0.35">
      <c r="A5" s="2" t="s">
        <v>206</v>
      </c>
      <c r="B5" s="2" t="s">
        <v>305</v>
      </c>
      <c r="C5" s="2" t="s">
        <v>203</v>
      </c>
      <c r="D5" s="2" t="s">
        <v>314</v>
      </c>
      <c r="E5" s="2" t="s">
        <v>315</v>
      </c>
      <c r="F5" s="2" t="s">
        <v>316</v>
      </c>
      <c r="G5" s="2" t="s">
        <v>317</v>
      </c>
    </row>
    <row r="6" spans="1:7" ht="29" x14ac:dyDescent="0.35">
      <c r="A6" s="2" t="s">
        <v>213</v>
      </c>
      <c r="B6" s="2" t="s">
        <v>300</v>
      </c>
      <c r="C6" s="2" t="s">
        <v>210</v>
      </c>
      <c r="D6" s="2" t="s">
        <v>318</v>
      </c>
      <c r="E6" s="2" t="s">
        <v>319</v>
      </c>
      <c r="F6" s="2" t="s">
        <v>320</v>
      </c>
      <c r="G6" s="2" t="s">
        <v>321</v>
      </c>
    </row>
    <row r="7" spans="1:7" ht="29" x14ac:dyDescent="0.35">
      <c r="A7" s="2" t="s">
        <v>242</v>
      </c>
      <c r="B7" s="2" t="s">
        <v>305</v>
      </c>
      <c r="C7" s="2" t="s">
        <v>239</v>
      </c>
      <c r="D7" s="2" t="s">
        <v>322</v>
      </c>
      <c r="E7" s="2" t="s">
        <v>323</v>
      </c>
      <c r="F7" s="2" t="s">
        <v>324</v>
      </c>
      <c r="G7" s="2" t="s">
        <v>325</v>
      </c>
    </row>
    <row r="8" spans="1:7" ht="29" x14ac:dyDescent="0.35">
      <c r="A8" s="2" t="s">
        <v>249</v>
      </c>
      <c r="B8" s="2" t="s">
        <v>300</v>
      </c>
      <c r="C8" s="2" t="s">
        <v>246</v>
      </c>
      <c r="D8" s="2" t="s">
        <v>326</v>
      </c>
      <c r="E8" s="2" t="s">
        <v>327</v>
      </c>
      <c r="F8" s="2" t="s">
        <v>328</v>
      </c>
      <c r="G8" s="2" t="s">
        <v>329</v>
      </c>
    </row>
    <row r="9" spans="1:7" ht="29" x14ac:dyDescent="0.35">
      <c r="A9" s="2" t="s">
        <v>256</v>
      </c>
      <c r="B9" s="2" t="s">
        <v>305</v>
      </c>
      <c r="C9" s="2" t="s">
        <v>253</v>
      </c>
      <c r="D9" s="2" t="s">
        <v>330</v>
      </c>
      <c r="E9" s="2" t="s">
        <v>331</v>
      </c>
      <c r="F9" s="2" t="s">
        <v>332</v>
      </c>
      <c r="G9" s="2" t="s">
        <v>333</v>
      </c>
    </row>
    <row r="10" spans="1:7" ht="29" x14ac:dyDescent="0.35">
      <c r="A10" s="2" t="s">
        <v>263</v>
      </c>
      <c r="B10" s="2" t="s">
        <v>300</v>
      </c>
      <c r="C10" s="2" t="s">
        <v>260</v>
      </c>
      <c r="D10" s="2" t="s">
        <v>334</v>
      </c>
      <c r="E10" s="2" t="s">
        <v>335</v>
      </c>
      <c r="F10" s="2" t="s">
        <v>336</v>
      </c>
      <c r="G10" s="2" t="s">
        <v>337</v>
      </c>
    </row>
    <row r="11" spans="1:7" ht="29" x14ac:dyDescent="0.35">
      <c r="A11" s="2" t="s">
        <v>270</v>
      </c>
      <c r="B11" s="2" t="s">
        <v>305</v>
      </c>
      <c r="C11" s="2" t="s">
        <v>267</v>
      </c>
      <c r="D11" s="2" t="s">
        <v>338</v>
      </c>
      <c r="E11" s="2" t="s">
        <v>339</v>
      </c>
      <c r="F11" s="2" t="s">
        <v>340</v>
      </c>
      <c r="G11" s="2" t="s">
        <v>341</v>
      </c>
    </row>
    <row r="12" spans="1:7" ht="29" x14ac:dyDescent="0.35">
      <c r="A12" s="2" t="s">
        <v>277</v>
      </c>
      <c r="B12" s="2" t="s">
        <v>300</v>
      </c>
      <c r="C12" s="2" t="s">
        <v>274</v>
      </c>
      <c r="D12" s="2" t="s">
        <v>342</v>
      </c>
      <c r="E12" s="2" t="s">
        <v>343</v>
      </c>
      <c r="F12" s="2" t="s">
        <v>344</v>
      </c>
      <c r="G12" s="2" t="s">
        <v>345</v>
      </c>
    </row>
    <row r="13" spans="1:7" ht="29" x14ac:dyDescent="0.35">
      <c r="A13" s="2" t="s">
        <v>284</v>
      </c>
      <c r="B13" s="2" t="s">
        <v>300</v>
      </c>
      <c r="C13" s="2" t="s">
        <v>281</v>
      </c>
      <c r="D13" s="2" t="s">
        <v>346</v>
      </c>
      <c r="E13" s="2" t="s">
        <v>347</v>
      </c>
      <c r="F13" s="2" t="s">
        <v>348</v>
      </c>
      <c r="G13" s="2" t="s">
        <v>349</v>
      </c>
    </row>
    <row r="14" spans="1:7" ht="29" x14ac:dyDescent="0.35">
      <c r="A14" s="2" t="s">
        <v>291</v>
      </c>
      <c r="B14" s="2" t="s">
        <v>300</v>
      </c>
      <c r="C14" s="2" t="s">
        <v>288</v>
      </c>
      <c r="D14" s="2" t="s">
        <v>350</v>
      </c>
      <c r="E14" s="2" t="s">
        <v>351</v>
      </c>
      <c r="F14" s="2" t="s">
        <v>352</v>
      </c>
      <c r="G14" s="2" t="s">
        <v>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>
      <selection activeCell="A7" sqref="A7"/>
    </sheetView>
  </sheetViews>
  <sheetFormatPr defaultRowHeight="14.5" x14ac:dyDescent="0.35"/>
  <cols>
    <col min="1" max="1" width="140" customWidth="1"/>
  </cols>
  <sheetData>
    <row r="1" spans="1:1" ht="21.4" customHeight="1" x14ac:dyDescent="0.45">
      <c r="A1" s="3" t="s">
        <v>354</v>
      </c>
    </row>
    <row r="2" spans="1:1" ht="21.4" customHeight="1" x14ac:dyDescent="0.35"/>
    <row r="3" spans="1:1" ht="21.4" customHeight="1" x14ac:dyDescent="0.35">
      <c r="A3" s="4" t="s">
        <v>355</v>
      </c>
    </row>
    <row r="4" spans="1:1" ht="29" x14ac:dyDescent="0.35">
      <c r="A4" s="2" t="s">
        <v>356</v>
      </c>
    </row>
    <row r="5" spans="1:1" ht="29" x14ac:dyDescent="0.35">
      <c r="A5" s="2" t="s">
        <v>357</v>
      </c>
    </row>
    <row r="6" spans="1:1" ht="29" x14ac:dyDescent="0.35">
      <c r="A6" s="2" t="s">
        <v>358</v>
      </c>
    </row>
    <row r="7" spans="1:1" ht="29" x14ac:dyDescent="0.35">
      <c r="A7" s="2" t="s">
        <v>359</v>
      </c>
    </row>
    <row r="8" spans="1:1" x14ac:dyDescent="0.35">
      <c r="A8" s="2" t="s">
        <v>360</v>
      </c>
    </row>
    <row r="9" spans="1:1" ht="29" x14ac:dyDescent="0.35">
      <c r="A9" s="2" t="s">
        <v>361</v>
      </c>
    </row>
    <row r="10" spans="1:1" ht="29" x14ac:dyDescent="0.35">
      <c r="A10" s="2" t="s">
        <v>362</v>
      </c>
    </row>
    <row r="11" spans="1:1" ht="21.4" customHeigh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2" sqref="A2:A4"/>
    </sheetView>
  </sheetViews>
  <sheetFormatPr defaultRowHeight="14.5" x14ac:dyDescent="0.35"/>
  <cols>
    <col min="1" max="4" width="28" customWidth="1"/>
  </cols>
  <sheetData>
    <row r="1" spans="1:4" x14ac:dyDescent="0.35">
      <c r="A1" s="5" t="s">
        <v>16</v>
      </c>
      <c r="B1" s="5" t="s">
        <v>14</v>
      </c>
      <c r="C1" s="5" t="s">
        <v>6</v>
      </c>
      <c r="D1" s="5" t="s">
        <v>5</v>
      </c>
    </row>
    <row r="2" spans="1:4" x14ac:dyDescent="0.35">
      <c r="A2" t="s">
        <v>30</v>
      </c>
      <c r="B2" t="s">
        <v>28</v>
      </c>
      <c r="C2" t="s">
        <v>22</v>
      </c>
      <c r="D2" t="s">
        <v>54</v>
      </c>
    </row>
    <row r="3" spans="1:4" x14ac:dyDescent="0.35">
      <c r="A3" t="s">
        <v>363</v>
      </c>
      <c r="B3" t="s">
        <v>80</v>
      </c>
      <c r="C3" t="s">
        <v>86</v>
      </c>
      <c r="D3" t="s">
        <v>220</v>
      </c>
    </row>
    <row r="4" spans="1:4" x14ac:dyDescent="0.35">
      <c r="A4" t="s">
        <v>364</v>
      </c>
      <c r="B4" t="s">
        <v>365</v>
      </c>
      <c r="C4" t="s">
        <v>121</v>
      </c>
      <c r="D4" t="s">
        <v>21</v>
      </c>
    </row>
    <row r="5" spans="1:4" x14ac:dyDescent="0.35">
      <c r="A5" t="s">
        <v>366</v>
      </c>
      <c r="B5" t="s">
        <v>366</v>
      </c>
      <c r="C5" t="s">
        <v>114</v>
      </c>
      <c r="D5" t="s">
        <v>85</v>
      </c>
    </row>
    <row r="6" spans="1:4" x14ac:dyDescent="0.35">
      <c r="A6" t="s">
        <v>366</v>
      </c>
      <c r="B6" t="s">
        <v>366</v>
      </c>
      <c r="C6" t="s">
        <v>61</v>
      </c>
      <c r="D6" t="s">
        <v>60</v>
      </c>
    </row>
    <row r="7" spans="1:4" x14ac:dyDescent="0.35">
      <c r="A7" t="s">
        <v>366</v>
      </c>
      <c r="B7" t="s">
        <v>366</v>
      </c>
      <c r="C7" t="s">
        <v>366</v>
      </c>
      <c r="D7" t="s">
        <v>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CD48-E9C1-425F-9456-7489EEE8A55F}">
  <dimension ref="B4:L12"/>
  <sheetViews>
    <sheetView topLeftCell="A4" workbookViewId="0">
      <selection activeCell="J7" sqref="J7"/>
    </sheetView>
  </sheetViews>
  <sheetFormatPr defaultRowHeight="14.5" x14ac:dyDescent="0.35"/>
  <cols>
    <col min="2" max="2" width="16.6328125" bestFit="1" customWidth="1"/>
    <col min="4" max="4" width="10.453125" bestFit="1" customWidth="1"/>
  </cols>
  <sheetData>
    <row r="4" spans="2:12" x14ac:dyDescent="0.35">
      <c r="B4" t="s">
        <v>30</v>
      </c>
      <c r="C4">
        <f>COUNTIF(Tabela1[Status],DASH!B4)</f>
        <v>238</v>
      </c>
    </row>
    <row r="5" spans="2:12" x14ac:dyDescent="0.35">
      <c r="B5" t="s">
        <v>363</v>
      </c>
      <c r="C5">
        <f>COUNTIF(Tabela1[Status],DASH!B5)</f>
        <v>1</v>
      </c>
    </row>
    <row r="6" spans="2:12" x14ac:dyDescent="0.35">
      <c r="B6" t="s">
        <v>364</v>
      </c>
      <c r="C6">
        <f>COUNTIF(Tabela1[Status],DASH!B6)</f>
        <v>3</v>
      </c>
    </row>
    <row r="7" spans="2:12" x14ac:dyDescent="0.35">
      <c r="I7" t="s">
        <v>384</v>
      </c>
      <c r="K7" t="s">
        <v>28</v>
      </c>
      <c r="L7" t="s">
        <v>80</v>
      </c>
    </row>
    <row r="8" spans="2:12" x14ac:dyDescent="0.35">
      <c r="B8" t="s">
        <v>378</v>
      </c>
      <c r="C8">
        <f ca="1">COUNTIFS(Tabela1[Status], "&lt;&gt;Feito", Tabela1[Data], "&lt;="&amp;TODAY())</f>
        <v>63</v>
      </c>
      <c r="D8" t="s">
        <v>379</v>
      </c>
      <c r="K8">
        <f ca="1">COUNTIFS(Tabela1[Status], "&lt;&gt;Feito", Tabela1[Data], "&lt;="&amp;TODAY(),Tabela1[Prioridade], "=Alta")</f>
        <v>47</v>
      </c>
      <c r="L8">
        <f ca="1">COUNTIFS(Tabela1[Status], "&lt;&gt;Feito", Tabela1[Data], "&lt;="&amp;TODAY(),Tabela1[Prioridade], "=Média")</f>
        <v>12</v>
      </c>
    </row>
    <row r="9" spans="2:12" x14ac:dyDescent="0.35">
      <c r="B9" t="s">
        <v>383</v>
      </c>
      <c r="C9">
        <f ca="1">COUNTIFS('Plano Diário'!$Q:$Q,"&lt;&gt;Feito",'Plano Diário'!$A:$A,"&gt;="&amp;DATE(YEAR(TODAY()),MONTH(TODAY()),1),'Plano Diário'!$A:$A,"&lt;="&amp;EOMONTH(TODAY(),0))</f>
        <v>84</v>
      </c>
      <c r="D9" t="s">
        <v>380</v>
      </c>
      <c r="K9">
        <f ca="1">COUNTIFS('Plano Diário'!$Q:$Q,"&lt;&gt;Feito",'Plano Diário'!$A:$A,"&gt;="&amp;DATE(YEAR(TODAY()),MONTH(TODAY()),1),'Plano Diário'!$A:$A,"&lt;="&amp;EOMONTH(TODAY(),0),'Plano Diário'!$O:$O,"Alta")</f>
        <v>66</v>
      </c>
      <c r="L9">
        <f ca="1">COUNTIFS('Plano Diário'!$Q:$Q,"&lt;&gt;Feito",'Plano Diário'!$A:$A,"&gt;="&amp;DATE(YEAR(TODAY()),MONTH(TODAY()),1),'Plano Diário'!$A:$A,"&lt;="&amp;EOMONTH(TODAY(),0),'Plano Diário'!$O:$O,"Média")</f>
        <v>18</v>
      </c>
    </row>
    <row r="10" spans="2:12" x14ac:dyDescent="0.35">
      <c r="B10" t="s">
        <v>382</v>
      </c>
      <c r="C10">
        <f ca="1">COUNTIFS('Plano Diário'!$Q:$Q,"&lt;&gt;Feito",'Plano Diário'!$A:$A,"&gt;"&amp;EOMONTH(TODAY(),0))</f>
        <v>155</v>
      </c>
      <c r="D10" t="s">
        <v>381</v>
      </c>
      <c r="K10">
        <f ca="1">COUNTIFS('Plano Diário'!$Q:$Q,"&lt;&gt;Feito",'Plano Diário'!$A:$A,"&gt;"&amp;EOMONTH(TODAY(),0),'Plano Diário'!$O:$O,"Alta")</f>
        <v>114</v>
      </c>
      <c r="L10">
        <f ca="1">COUNTIFS('Plano Diário'!$Q:$Q,"&lt;&gt;Feito",'Plano Diário'!$A:$A,"&gt;"&amp;EOMONTH(TODAY(),0),'Plano Diário'!$O:$O,"Média")</f>
        <v>41</v>
      </c>
    </row>
    <row r="12" spans="2:12" x14ac:dyDescent="0.35">
      <c r="D12" s="12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Plano Diário</vt:lpstr>
      <vt:lpstr>Filtro</vt:lpstr>
      <vt:lpstr>Temas Semanais</vt:lpstr>
      <vt:lpstr>Regras Operacionais</vt:lpstr>
      <vt:lpstr>Listas</vt:lpstr>
      <vt:lpstr>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paulo donassolo</cp:lastModifiedBy>
  <dcterms:created xsi:type="dcterms:W3CDTF">2025-12-23T17:56:08Z</dcterms:created>
  <dcterms:modified xsi:type="dcterms:W3CDTF">2026-01-22T07:52:24Z</dcterms:modified>
</cp:coreProperties>
</file>